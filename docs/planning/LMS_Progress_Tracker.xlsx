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Team" sheetId="3" state="visible" r:id="rId5"/>
    <sheet name="Tasks" sheetId="4" state="visible" r:id="rId6"/>
  </sheets>
  <definedNames>
    <definedName function="false" hidden="true" localSheetId="3" name="_xlnm._FilterDatabase" vbProcedure="false">Tasks!$A$1:$O$65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<sst xmlns="http://schemas.openxmlformats.org/spreadsheetml/2006/main" count="577" uniqueCount="230">
  <si>
    <t xml:space="preserve">LMS Progress Tracker</t>
  </si>
  <si>
    <t xml:space="preserve">What this file does</t>
  </si>
  <si>
    <t xml:space="preserve">Shows you, in one place, who is ahead, who is behind and who is stuck.</t>
  </si>
  <si>
    <t xml:space="preserve">Step 1</t>
  </si>
  <si>
    <t xml:space="preserve">Open the 'Team' sheet. Type each person's real name in the yellow cells. Set the project start Monday (yellow cell).</t>
  </si>
  <si>
    <t xml:space="preserve">Step 2</t>
  </si>
  <si>
    <t xml:space="preserve">Team members update ONLY these columns on the 'Tasks' sheet: Status (I), Blocked? (J), Actual hours (L), Review rounds (M), Notes (O).</t>
  </si>
  <si>
    <t xml:space="preserve">Step 3</t>
  </si>
  <si>
    <t xml:space="preserve">Do not type in grey columns. They are formulas (Person, Due date, Overdue).</t>
  </si>
  <si>
    <t xml:space="preserve">Step 4</t>
  </si>
  <si>
    <t xml:space="preserve">Look at the 'Summary' sheet every Wednesday and Friday. GREEN = fine, AMBER = talk to the person, RED = help now.</t>
  </si>
  <si>
    <t xml:space="preserve">Blue text</t>
  </si>
  <si>
    <t xml:space="preserve">Cells where you type. Black text = formulas. Yellow fill = settings you should check first.</t>
  </si>
  <si>
    <t xml:space="preserve">Example row</t>
  </si>
  <si>
    <t xml:space="preserve">Task LMS-203 | Status: In review | Blocked?: (empty) | Actual hours: 9 | Review rounds: 1 | Notes: PR #14 waiting for lead</t>
  </si>
  <si>
    <t xml:space="preserve">Health rule</t>
  </si>
  <si>
    <t xml:space="preserve">RED if 3 or more overdue tasks or 2 or more blocked tasks. AMBER if 1-2 overdue or 1 blocked. Otherwise GREEN.</t>
  </si>
  <si>
    <t xml:space="preserve">Overdue rule</t>
  </si>
  <si>
    <t xml:space="preserve">A task is OVERDUE when it is not Done and today is after the last day (Friday) of its sprint.</t>
  </si>
  <si>
    <t xml:space="preserve">Progress summary</t>
  </si>
  <si>
    <t xml:space="preserve">Today:</t>
  </si>
  <si>
    <t xml:space="preserve">By person</t>
  </si>
  <si>
    <t xml:space="preserve">Tag</t>
  </si>
  <si>
    <t xml:space="preserve">Person</t>
  </si>
  <si>
    <t xml:space="preserve">Tasks</t>
  </si>
  <si>
    <t xml:space="preserve">Done</t>
  </si>
  <si>
    <t xml:space="preserve">In review/testing</t>
  </si>
  <si>
    <t xml:space="preserve">In progress</t>
  </si>
  <si>
    <t xml:space="preserve">Not started</t>
  </si>
  <si>
    <t xml:space="preserve">Blocked</t>
  </si>
  <si>
    <t xml:space="preserve">Overdue</t>
  </si>
  <si>
    <t xml:space="preserve">% tasks done</t>
  </si>
  <si>
    <t xml:space="preserve">Estimated h</t>
  </si>
  <si>
    <t xml:space="preserve">Done h (estimate)</t>
  </si>
  <si>
    <t xml:space="preserve">Actual h (done tasks)</t>
  </si>
  <si>
    <t xml:space="preserve">Avg review rounds</t>
  </si>
  <si>
    <t xml:space="preserve">Health</t>
  </si>
  <si>
    <t xml:space="preserve">Total</t>
  </si>
  <si>
    <t xml:space="preserve">By sprint</t>
  </si>
  <si>
    <t xml:space="preserve">Sprint</t>
  </si>
  <si>
    <t xml:space="preserve">Ends</t>
  </si>
  <si>
    <t xml:space="preserve">Note: 'Done h (estimate)' adds the estimated hours of finished tasks. Compare it with 'Actual h' to see who under- or over-estimates.</t>
  </si>
  <si>
    <t xml:space="preserve">Team and settings</t>
  </si>
  <si>
    <t xml:space="preserve">Project start (a Monday)</t>
  </si>
  <si>
    <t xml:space="preserve">Assumption: kick-off on the first Monday after 29 Sep 2026. Change if your start date is different.</t>
  </si>
  <si>
    <t xml:space="preserve">Person (type name)</t>
  </si>
  <si>
    <t xml:space="preserve">Main job</t>
  </si>
  <si>
    <t xml:space="preserve">Main apps they own</t>
  </si>
  <si>
    <t xml:space="preserve">PM</t>
  </si>
  <si>
    <t xml:space="preserve">Lead (you)</t>
  </si>
  <si>
    <t xml:space="preserve">Plans, reviews every pull request, removes blockers, runs demos</t>
  </si>
  <si>
    <t xml:space="preserve">All (reviewer)</t>
  </si>
  <si>
    <t xml:space="preserve">BE-1</t>
  </si>
  <si>
    <t xml:space="preserve">Name 1</t>
  </si>
  <si>
    <t xml:space="preserve">Foundation and security: user model, roles, mixins, sensitive logic</t>
  </si>
  <si>
    <t xml:space="preserve">accounts, attendance</t>
  </si>
  <si>
    <t xml:space="preserve">BE-2</t>
  </si>
  <si>
    <t xml:space="preserve">Name 2</t>
  </si>
  <si>
    <t xml:space="preserve">Courses and applications, admin pages, deployment</t>
  </si>
  <si>
    <t xml:space="preserve">courses, enrollments</t>
  </si>
  <si>
    <t xml:space="preserve">BE-3</t>
  </si>
  <si>
    <t xml:space="preserve">Name 3</t>
  </si>
  <si>
    <t xml:space="preserve">Login pages, marks, reports, data rules</t>
  </si>
  <si>
    <t xml:space="preserve">assessments, core</t>
  </si>
  <si>
    <t xml:space="preserve">FE</t>
  </si>
  <si>
    <t xml:space="preserve">Name 4</t>
  </si>
  <si>
    <t xml:space="preserve">Templates, Bootstrap, how every page looks and feels</t>
  </si>
  <si>
    <t xml:space="preserve">templates/, static/</t>
  </si>
  <si>
    <t xml:space="preserve">QA</t>
  </si>
  <si>
    <t xml:space="preserve">Name 5</t>
  </si>
  <si>
    <t xml:space="preserve">Tests, bug reports, user acceptance testing</t>
  </si>
  <si>
    <t xml:space="preserve">tests/</t>
  </si>
  <si>
    <t xml:space="preserve">Sprint calendar</t>
  </si>
  <si>
    <t xml:space="preserve">Start week (0 = week 1)</t>
  </si>
  <si>
    <t xml:space="preserve">End week (weeks from start)</t>
  </si>
  <si>
    <t xml:space="preserve">Starts (Monday)</t>
  </si>
  <si>
    <t xml:space="preserve">Ends (Friday)</t>
  </si>
  <si>
    <t xml:space="preserve">Sprint 0 - Setup</t>
  </si>
  <si>
    <t xml:space="preserve">Sprint 1 - Accounts and Roles</t>
  </si>
  <si>
    <t xml:space="preserve">Sprint 2 - Courses, Units and Home Page</t>
  </si>
  <si>
    <t xml:space="preserve">Sprint 3 - Applications and Enrollment</t>
  </si>
  <si>
    <t xml:space="preserve">Sprint 4 - Assessments and Feedback</t>
  </si>
  <si>
    <t xml:space="preserve">Sprint 5 - Attendance</t>
  </si>
  <si>
    <t xml:space="preserve">Sprint 6 - Dashboards, Polish and Release</t>
  </si>
  <si>
    <t xml:space="preserve">ID</t>
  </si>
  <si>
    <t xml:space="preserve">Task</t>
  </si>
  <si>
    <t xml:space="preserve">Owner tag</t>
  </si>
  <si>
    <t xml:space="preserve">Estimate (h)</t>
  </si>
  <si>
    <t xml:space="preserve">Depends on</t>
  </si>
  <si>
    <t xml:space="preserve">Priority</t>
  </si>
  <si>
    <t xml:space="preserve">Status</t>
  </si>
  <si>
    <t xml:space="preserve">Blocked?</t>
  </si>
  <si>
    <t xml:space="preserve">Due (sprint end)</t>
  </si>
  <si>
    <t xml:space="preserve">Actual hours</t>
  </si>
  <si>
    <t xml:space="preserve">Review rounds</t>
  </si>
  <si>
    <t xml:space="preserve">Overdue?</t>
  </si>
  <si>
    <t xml:space="preserve">Notes</t>
  </si>
  <si>
    <t xml:space="preserve">LMS-001</t>
  </si>
  <si>
    <t xml:space="preserve">Create GitHub repo, branch protection (main/develop), .gitignore, README</t>
  </si>
  <si>
    <t xml:space="preserve">High</t>
  </si>
  <si>
    <t xml:space="preserve">LMS-002</t>
  </si>
  <si>
    <t xml:space="preserve">Create Django project 'config' with split settings (base/dev/prod), django-environ, .env.example</t>
  </si>
  <si>
    <t xml:space="preserve">Provided in the starter repo - owner: read it, ask questions, improve via PR</t>
  </si>
  <si>
    <t xml:space="preserve">LMS-003</t>
  </si>
  <si>
    <t xml:space="preserve">Set up PostgreSQL (local or docker-compose) and connect Django to it</t>
  </si>
  <si>
    <t xml:space="preserve">LMS-004</t>
  </si>
  <si>
    <t xml:space="preserve">Create the 6 apps (core, accounts, courses, enrollments, assessments, attendance) and register them</t>
  </si>
  <si>
    <t xml:space="preserve">LMS-005</t>
  </si>
  <si>
    <t xml:space="preserve">Base template: Bootstrap 5, navbar that changes per role, messages and pagination partials</t>
  </si>
  <si>
    <t xml:space="preserve">Basic version in the starter repo - finish it</t>
  </si>
  <si>
    <t xml:space="preserve">LMS-006</t>
  </si>
  <si>
    <t xml:space="preserve">Add ruff/black, pre-commit and a GitHub Actions workflow that runs tests on every PR</t>
  </si>
  <si>
    <t xml:space="preserve">Medium</t>
  </si>
  <si>
    <t xml:space="preserve">LMS-007</t>
  </si>
  <si>
    <t xml:space="preserve">Create Slack channels, connect GitHub app, build the standup workflow and task board (see Slack section)</t>
  </si>
  <si>
    <t xml:space="preserve">LMS-008</t>
  </si>
  <si>
    <t xml:space="preserve">Set up pytest + factory-boy and write the test-case checklist for workflows A to E</t>
  </si>
  <si>
    <t xml:space="preserve">LMS-101</t>
  </si>
  <si>
    <t xml:space="preserve">Custom User model (role, phone, photo) - MUST be done before the first migrate</t>
  </si>
  <si>
    <t xml:space="preserve">LMS-102</t>
  </si>
  <si>
    <t xml:space="preserve">FacilitatorProfile and StudentProfile models + signal that creates the profile automatically</t>
  </si>
  <si>
    <t xml:space="preserve">LMS-103</t>
  </si>
  <si>
    <t xml:space="preserve">Student registration, login, logout and password reset (views + templates)</t>
  </si>
  <si>
    <t xml:space="preserve">LMS-104</t>
  </si>
  <si>
    <t xml:space="preserve">Access-control mixins: RoleRequiredMixin, CourseManagerRequiredMixin</t>
  </si>
  <si>
    <t xml:space="preserve">LMS-105</t>
  </si>
  <si>
    <t xml:space="preserve">Admin user management: list, create facilitator, edit, activate/deactivate</t>
  </si>
  <si>
    <t xml:space="preserve">LMS-106</t>
  </si>
  <si>
    <t xml:space="preserve">Admin facilitator list with grant / revoke 'can_manage_courses' button</t>
  </si>
  <si>
    <t xml:space="preserve">LMS-107</t>
  </si>
  <si>
    <t xml:space="preserve">Profile view and edit pages for all roles</t>
  </si>
  <si>
    <t xml:space="preserve">LMS-108</t>
  </si>
  <si>
    <t xml:space="preserve">Dashboard redirect by role + three placeholder dashboards</t>
  </si>
  <si>
    <t xml:space="preserve">LMS-109</t>
  </si>
  <si>
    <t xml:space="preserve">Write tests: registration, login, role mixins, grant/revoke right</t>
  </si>
  <si>
    <t xml:space="preserve">LMS-110</t>
  </si>
  <si>
    <t xml:space="preserve">Management command create_demo_data (admin, facilitators, students, courses)</t>
  </si>
  <si>
    <t xml:space="preserve">Low</t>
  </si>
  <si>
    <t xml:space="preserve">LMS-111</t>
  </si>
  <si>
    <t xml:space="preserve">Static HTML prototypes (home, course detail, dashboards) so pages are designed before the views exist</t>
  </si>
  <si>
    <t xml:space="preserve">LMS-201</t>
  </si>
  <si>
    <t xml:space="preserve">Course model, admin registration and migrations</t>
  </si>
  <si>
    <t xml:space="preserve">LMS-202</t>
  </si>
  <si>
    <t xml:space="preserve">Unit model with facilitator FK and ordering</t>
  </si>
  <si>
    <t xml:space="preserve">LMS-203</t>
  </si>
  <si>
    <t xml:space="preserve">Course create / update / delete views with ownership checks</t>
  </si>
  <si>
    <t xml:space="preserve">LMS-204</t>
  </si>
  <si>
    <t xml:space="preserve">Course form validation (dates, capacity) and image upload</t>
  </si>
  <si>
    <t xml:space="preserve">LMS-205</t>
  </si>
  <si>
    <t xml:space="preserve">Publish / close course action (status change)</t>
  </si>
  <si>
    <t xml:space="preserve">LMS-206</t>
  </si>
  <si>
    <t xml:space="preserve">Unit CRUD nested under a course + assign facilitator to unit</t>
  </si>
  <si>
    <t xml:space="preserve">LMS-207</t>
  </si>
  <si>
    <t xml:space="preserve">Home page: published course cards, search, filter, pagination</t>
  </si>
  <si>
    <t xml:space="preserve">LMS-208</t>
  </si>
  <si>
    <t xml:space="preserve">Course detail page with unit list and smart 'Apply' button state</t>
  </si>
  <si>
    <t xml:space="preserve">LMS-209</t>
  </si>
  <si>
    <t xml:space="preserve">'Manage courses' table page for admin and course managers</t>
  </si>
  <si>
    <t xml:space="preserve">LMS-210</t>
  </si>
  <si>
    <t xml:space="preserve">'My units' page for facilitators (units I teach)</t>
  </si>
  <si>
    <t xml:space="preserve">LMS-211</t>
  </si>
  <si>
    <t xml:space="preserve">Tests: who can create / edit / delete, unpublished courses hidden from home</t>
  </si>
  <si>
    <t xml:space="preserve">LMS-301</t>
  </si>
  <si>
    <t xml:space="preserve">Application model with unique (student, course) constraint</t>
  </si>
  <si>
    <t xml:space="preserve">LMS-302</t>
  </si>
  <si>
    <t xml:space="preserve">Enrollment model</t>
  </si>
  <si>
    <t xml:space="preserve">LMS-303</t>
  </si>
  <si>
    <t xml:space="preserve">Apply view + form; rules: window open, capacity, no duplicates</t>
  </si>
  <si>
    <t xml:space="preserve">LMS-304</t>
  </si>
  <si>
    <t xml:space="preserve">'My applications' page with withdraw button</t>
  </si>
  <si>
    <t xml:space="preserve">LMS-305</t>
  </si>
  <si>
    <t xml:space="preserve">Manage applications list with filters (status, course)</t>
  </si>
  <si>
    <t xml:space="preserve">LMS-306</t>
  </si>
  <si>
    <t xml:space="preserve">Approve / reject with note; service function creates Enrollment</t>
  </si>
  <si>
    <t xml:space="preserve">LMS-307</t>
  </si>
  <si>
    <t xml:space="preserve">Email on decision (console backend in dev, SMTP in prod)</t>
  </si>
  <si>
    <t xml:space="preserve">LMS-308</t>
  </si>
  <si>
    <t xml:space="preserve">Student 'My courses' page + facilitator unit roster</t>
  </si>
  <si>
    <t xml:space="preserve">LMS-309</t>
  </si>
  <si>
    <t xml:space="preserve">Tests: apply rules, approval flow, capacity edge cases</t>
  </si>
  <si>
    <t xml:space="preserve">LMS-401</t>
  </si>
  <si>
    <t xml:space="preserve">Test, TestResult and Feedback models</t>
  </si>
  <si>
    <t xml:space="preserve">LMS-402</t>
  </si>
  <si>
    <t xml:space="preserve">Test CRUD for the unit's facilitator</t>
  </si>
  <si>
    <t xml:space="preserve">LMS-403</t>
  </si>
  <si>
    <t xml:space="preserve">Bulk marks entry page (formset for all enrolled students)</t>
  </si>
  <si>
    <t xml:space="preserve">LMS-404</t>
  </si>
  <si>
    <t xml:space="preserve">Feedback create / update form linked to a result</t>
  </si>
  <si>
    <t xml:space="preserve">LMS-405</t>
  </si>
  <si>
    <t xml:space="preserve">Student results list and result detail with feedback</t>
  </si>
  <si>
    <t xml:space="preserve">LMS-406</t>
  </si>
  <si>
    <t xml:space="preserve">Facilitator 'pending feedback' filter</t>
  </si>
  <si>
    <t xml:space="preserve">LMS-407</t>
  </si>
  <si>
    <t xml:space="preserve">In-app notification when feedback is added (optional)</t>
  </si>
  <si>
    <t xml:space="preserve">LMS-408</t>
  </si>
  <si>
    <t xml:space="preserve">Tests: marks validation, feedback permissions, student privacy</t>
  </si>
  <si>
    <t xml:space="preserve">LMS-501</t>
  </si>
  <si>
    <t xml:space="preserve">ClassSession and AttendanceRecord models</t>
  </si>
  <si>
    <t xml:space="preserve">LMS-502</t>
  </si>
  <si>
    <t xml:space="preserve">Session CRUD for the unit's facilitator</t>
  </si>
  <si>
    <t xml:space="preserve">LMS-503</t>
  </si>
  <si>
    <t xml:space="preserve">Mark-attendance page (status per student, 'mark all present')</t>
  </si>
  <si>
    <t xml:space="preserve">LMS-504</t>
  </si>
  <si>
    <t xml:space="preserve">Unit attendance report: % per student, highlight low attendance</t>
  </si>
  <si>
    <t xml:space="preserve">LMS-505</t>
  </si>
  <si>
    <t xml:space="preserve">Export attendance to CSV / PDF</t>
  </si>
  <si>
    <t xml:space="preserve">LMS-506</t>
  </si>
  <si>
    <t xml:space="preserve">Student 'My attendance' page</t>
  </si>
  <si>
    <t xml:space="preserve">LMS-507</t>
  </si>
  <si>
    <t xml:space="preserve">Admin attendance overview across all units</t>
  </si>
  <si>
    <t xml:space="preserve">LMS-508</t>
  </si>
  <si>
    <t xml:space="preserve">Tests: only unit facilitator can mark, no duplicate records</t>
  </si>
  <si>
    <t xml:space="preserve">LMS-601</t>
  </si>
  <si>
    <t xml:space="preserve">Admin dashboard: totals, pending applications, recent activity</t>
  </si>
  <si>
    <t xml:space="preserve">LMS-602</t>
  </si>
  <si>
    <t xml:space="preserve">Facilitator dashboard: my units, upcoming sessions, pending feedback</t>
  </si>
  <si>
    <t xml:space="preserve">LMS-603</t>
  </si>
  <si>
    <t xml:space="preserve">Student dashboard: my courses, next sessions, latest results, attendance %</t>
  </si>
  <si>
    <t xml:space="preserve">LMS-604</t>
  </si>
  <si>
    <t xml:space="preserve">UI polish: responsive check, empty states, 403/404/500 pages</t>
  </si>
  <si>
    <t xml:space="preserve">LMS-605</t>
  </si>
  <si>
    <t xml:space="preserve">Performance pass: select_related / prefetch_related, indexes, pagination</t>
  </si>
  <si>
    <t xml:space="preserve">LMS-606</t>
  </si>
  <si>
    <t xml:space="preserve">Security review using the checklist in this document</t>
  </si>
  <si>
    <t xml:space="preserve">LMS-607</t>
  </si>
  <si>
    <t xml:space="preserve">Full regression + user acceptance testing with real users</t>
  </si>
  <si>
    <t xml:space="preserve">LMS-608</t>
  </si>
  <si>
    <t xml:space="preserve">Production settings, Gunicorn + Nginx / Whitenoise, env vars, DB backups</t>
  </si>
  <si>
    <t xml:space="preserve">LMS-609</t>
  </si>
  <si>
    <t xml:space="preserve">Deploy, smoke test, hand-over documentation and training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</si>
</sst>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General"/>
    <numFmt numFmtId="167" formatCode="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E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E2A4A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5E7EB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86EFAC"/>
        </patternFill>
      </fill>
    </dxf>
    <dxf>
      <fill>
        <patternFill>
          <bgColor rgb="FFFCD34D"/>
        </patternFill>
      </fill>
    </dxf>
    <dxf>
      <fill>
        <patternFill>
          <bgColor rgb="FFFCA5A5"/>
        </patternFill>
      </fill>
    </dxf>
    <dxf>
      <fill>
        <patternFill>
          <bgColor rgb="FFFEE2E2"/>
        </patternFill>
      </fill>
    </dxf>
    <dxf>
      <fill>
        <patternFill patternType="solid">
          <fgColor rgb="FF1E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EE2E2"/>
      <rgbColor rgb="FF86EFAC"/>
      <rgbColor rgb="FFFCA5A5"/>
      <rgbColor rgb="FFCC99FF"/>
      <rgbColor rgb="FFFCD34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9" min="8" style="0" width="9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  <c r="B2" s="4" t="n">
        <f aca="true">TODAY()</f>
        <v>46295</v>
      </c>
    </row>
    <row r="4" customFormat="false" ht="15" hidden="false" customHeight="false" outlineLevel="0" collapsed="false">
      <c r="A4" s="5" t="s">
        <v>21</v>
      </c>
    </row>
    <row r="5" customFormat="false" ht="31.5" hidden="false" customHeight="true" outlineLevel="0" collapsed="false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34</v>
      </c>
      <c r="N5" s="6" t="s">
        <v>35</v>
      </c>
      <c r="O5" s="6" t="s">
        <v>36</v>
      </c>
    </row>
    <row r="6" customFormat="false" ht="15" hidden="false" customHeight="false" outlineLevel="0" collapsed="false">
      <c r="A6" s="7" t="str">
        <f aca="false">Team!A5</f>
        <v>PM</v>
      </c>
      <c r="B6" s="7" t="str">
        <f aca="false">Team!B5</f>
        <v>Lead (you)</v>
      </c>
      <c r="C6" s="8" t="n">
        <f aca="false">COUNTIF(Tasks!$C$2:$C$65,A6)</f>
        <v>3</v>
      </c>
      <c r="D6" s="8" t="n">
        <f aca="false">COUNTIFS(Tasks!$C$2:$C$65,A6,Tasks!$I$2:$I$65,"Done")</f>
        <v>0</v>
      </c>
      <c r="E6" s="8" t="n">
        <f aca="false">COUNTIFS(Tasks!$C$2:$C$65,A6,Tasks!$I$2:$I$65,"In review")+COUNTIFS(Tasks!$C$2:$C$65,A6,Tasks!$I$2:$I$65,"Testing")</f>
        <v>0</v>
      </c>
      <c r="F6" s="8" t="n">
        <f aca="false">COUNTIFS(Tasks!$C$2:$C$65,A6,Tasks!$I$2:$I$65,"In progress")</f>
        <v>0</v>
      </c>
      <c r="G6" s="8" t="n">
        <f aca="false">COUNTIFS(Tasks!$C$2:$C$65,A6,Tasks!$I$2:$I$65,"Not started")</f>
        <v>3</v>
      </c>
      <c r="H6" s="8" t="n">
        <f aca="false">COUNTIFS(Tasks!$C$2:$C$65,A6,Tasks!$J$2:$J$65,"Yes",Tasks!$I$2:$I$65,"&lt;&gt;Done")</f>
        <v>0</v>
      </c>
      <c r="I6" s="8" t="n">
        <f aca="false">COUNTIFS(Tasks!$C$2:$C$65,A6,Tasks!$N$2:$N$65,"OVERDUE")</f>
        <v>0</v>
      </c>
      <c r="J6" s="9" t="n">
        <f aca="false">IF(C6=0,0,D6/C6)</f>
        <v>0</v>
      </c>
      <c r="K6" s="8" t="n">
        <f aca="false">SUMIF(Tasks!$C$2:$C$65,A6,Tasks!$F$2:$F$65)</f>
        <v>9</v>
      </c>
      <c r="L6" s="8" t="n">
        <f aca="false">SUMIFS(Tasks!$F$2:$F$65,Tasks!$C$2:$C$65,A6,Tasks!$I$2:$I$65,"Done")</f>
        <v>0</v>
      </c>
      <c r="M6" s="8" t="n">
        <f aca="false">SUMIFS(Tasks!$L$2:$L$65,Tasks!$C$2:$C$65,A6,Tasks!$I$2:$I$65,"Done")</f>
        <v>0</v>
      </c>
      <c r="N6" s="10" t="n">
        <f aca="false">IFERROR(AVERAGEIFS(Tasks!$M$2:$M$65,Tasks!$C$2:$C$65,A6,Tasks!$I$2:$I$65,"Done"),0)</f>
        <v>0</v>
      </c>
      <c r="O6" s="11" t="str">
        <f aca="false">IF(OR(I6&gt;=3,H6&gt;=2),"RED",IF(OR(I6&gt;=1,H6&gt;=1),"AMBER","GREEN"))</f>
        <v>GREEN</v>
      </c>
    </row>
    <row r="7" customFormat="false" ht="15" hidden="false" customHeight="false" outlineLevel="0" collapsed="false">
      <c r="A7" s="7" t="str">
        <f aca="false">Team!A6</f>
        <v>BE-1</v>
      </c>
      <c r="B7" s="7" t="str">
        <f aca="false">Team!B6</f>
        <v>Name 1</v>
      </c>
      <c r="C7" s="8" t="n">
        <f aca="false">COUNTIF(Tasks!$C$2:$C$65,A7)</f>
        <v>15</v>
      </c>
      <c r="D7" s="8" t="n">
        <f aca="false">COUNTIFS(Tasks!$C$2:$C$65,A7,Tasks!$I$2:$I$65,"Done")</f>
        <v>6</v>
      </c>
      <c r="E7" s="8" t="n">
        <f aca="false">COUNTIFS(Tasks!$C$2:$C$65,A7,Tasks!$I$2:$I$65,"In review")+COUNTIFS(Tasks!$C$2:$C$65,A7,Tasks!$I$2:$I$65,"Testing")</f>
        <v>0</v>
      </c>
      <c r="F7" s="8" t="n">
        <f aca="false">COUNTIFS(Tasks!$C$2:$C$65,A7,Tasks!$I$2:$I$65,"In progress")</f>
        <v>0</v>
      </c>
      <c r="G7" s="8" t="n">
        <f aca="false">COUNTIFS(Tasks!$C$2:$C$65,A7,Tasks!$I$2:$I$65,"Not started")</f>
        <v>9</v>
      </c>
      <c r="H7" s="8" t="n">
        <f aca="false">COUNTIFS(Tasks!$C$2:$C$65,A7,Tasks!$J$2:$J$65,"Yes",Tasks!$I$2:$I$65,"&lt;&gt;Done")</f>
        <v>0</v>
      </c>
      <c r="I7" s="8" t="n">
        <f aca="false">COUNTIFS(Tasks!$C$2:$C$65,A7,Tasks!$N$2:$N$65,"OVERDUE")</f>
        <v>0</v>
      </c>
      <c r="J7" s="9" t="n">
        <f aca="false">IF(C7=0,0,D7/C7)</f>
        <v>0.4</v>
      </c>
      <c r="K7" s="8" t="n">
        <f aca="false">SUMIF(Tasks!$C$2:$C$65,A7,Tasks!$F$2:$F$65)</f>
        <v>62</v>
      </c>
      <c r="L7" s="8" t="n">
        <f aca="false">SUMIFS(Tasks!$F$2:$F$65,Tasks!$C$2:$C$65,A7,Tasks!$I$2:$I$65,"Done")</f>
        <v>17</v>
      </c>
      <c r="M7" s="8" t="n">
        <f aca="false">SUMIFS(Tasks!$L$2:$L$65,Tasks!$C$2:$C$65,A7,Tasks!$I$2:$I$65,"Done")</f>
        <v>0</v>
      </c>
      <c r="N7" s="10" t="n">
        <f aca="false">IFERROR(AVERAGEIFS(Tasks!$M$2:$M$65,Tasks!$C$2:$C$65,A7,Tasks!$I$2:$I$65,"Done"),0)</f>
        <v>0</v>
      </c>
      <c r="O7" s="11" t="str">
        <f aca="false">IF(OR(I7&gt;=3,H7&gt;=2),"RED",IF(OR(I7&gt;=1,H7&gt;=1),"AMBER","GREEN"))</f>
        <v>GREEN</v>
      </c>
    </row>
    <row r="8" customFormat="false" ht="15" hidden="false" customHeight="false" outlineLevel="0" collapsed="false">
      <c r="A8" s="7" t="str">
        <f aca="false">Team!A7</f>
        <v>BE-2</v>
      </c>
      <c r="B8" s="7" t="str">
        <f aca="false">Team!B7</f>
        <v>Name 2</v>
      </c>
      <c r="C8" s="8" t="n">
        <f aca="false">COUNTIF(Tasks!$C$2:$C$65,A8)</f>
        <v>12</v>
      </c>
      <c r="D8" s="8" t="n">
        <f aca="false">COUNTIFS(Tasks!$C$2:$C$65,A8,Tasks!$I$2:$I$65,"Done")</f>
        <v>2</v>
      </c>
      <c r="E8" s="8" t="n">
        <f aca="false">COUNTIFS(Tasks!$C$2:$C$65,A8,Tasks!$I$2:$I$65,"In review")+COUNTIFS(Tasks!$C$2:$C$65,A8,Tasks!$I$2:$I$65,"Testing")</f>
        <v>0</v>
      </c>
      <c r="F8" s="8" t="n">
        <f aca="false">COUNTIFS(Tasks!$C$2:$C$65,A8,Tasks!$I$2:$I$65,"In progress")</f>
        <v>0</v>
      </c>
      <c r="G8" s="8" t="n">
        <f aca="false">COUNTIFS(Tasks!$C$2:$C$65,A8,Tasks!$I$2:$I$65,"Not started")</f>
        <v>10</v>
      </c>
      <c r="H8" s="8" t="n">
        <f aca="false">COUNTIFS(Tasks!$C$2:$C$65,A8,Tasks!$J$2:$J$65,"Yes",Tasks!$I$2:$I$65,"&lt;&gt;Done")</f>
        <v>0</v>
      </c>
      <c r="I8" s="8" t="n">
        <f aca="false">COUNTIFS(Tasks!$C$2:$C$65,A8,Tasks!$N$2:$N$65,"OVERDUE")</f>
        <v>0</v>
      </c>
      <c r="J8" s="9" t="n">
        <f aca="false">IF(C8=0,0,D8/C8)</f>
        <v>0.166666666666667</v>
      </c>
      <c r="K8" s="8" t="n">
        <f aca="false">SUMIF(Tasks!$C$2:$C$65,A8,Tasks!$F$2:$F$65)</f>
        <v>60</v>
      </c>
      <c r="L8" s="8" t="n">
        <f aca="false">SUMIFS(Tasks!$F$2:$F$65,Tasks!$C$2:$C$65,A8,Tasks!$I$2:$I$65,"Done")</f>
        <v>6</v>
      </c>
      <c r="M8" s="8" t="n">
        <f aca="false">SUMIFS(Tasks!$L$2:$L$65,Tasks!$C$2:$C$65,A8,Tasks!$I$2:$I$65,"Done")</f>
        <v>0</v>
      </c>
      <c r="N8" s="10" t="n">
        <f aca="false">IFERROR(AVERAGEIFS(Tasks!$M$2:$M$65,Tasks!$C$2:$C$65,A8,Tasks!$I$2:$I$65,"Done"),0)</f>
        <v>0</v>
      </c>
      <c r="O8" s="11" t="str">
        <f aca="false">IF(OR(I8&gt;=3,H8&gt;=2),"RED",IF(OR(I8&gt;=1,H8&gt;=1),"AMBER","GREEN"))</f>
        <v>GREEN</v>
      </c>
    </row>
    <row r="9" customFormat="false" ht="15" hidden="false" customHeight="false" outlineLevel="0" collapsed="false">
      <c r="A9" s="7" t="str">
        <f aca="false">Team!A8</f>
        <v>BE-3</v>
      </c>
      <c r="B9" s="7" t="str">
        <f aca="false">Team!B8</f>
        <v>Name 3</v>
      </c>
      <c r="C9" s="8" t="n">
        <f aca="false">COUNTIF(Tasks!$C$2:$C$65,A9)</f>
        <v>16</v>
      </c>
      <c r="D9" s="8" t="n">
        <f aca="false">COUNTIFS(Tasks!$C$2:$C$65,A9,Tasks!$I$2:$I$65,"Done")</f>
        <v>7</v>
      </c>
      <c r="E9" s="8" t="n">
        <f aca="false">COUNTIFS(Tasks!$C$2:$C$65,A9,Tasks!$I$2:$I$65,"In review")+COUNTIFS(Tasks!$C$2:$C$65,A9,Tasks!$I$2:$I$65,"Testing")</f>
        <v>0</v>
      </c>
      <c r="F9" s="8" t="n">
        <f aca="false">COUNTIFS(Tasks!$C$2:$C$65,A9,Tasks!$I$2:$I$65,"In progress")</f>
        <v>0</v>
      </c>
      <c r="G9" s="8" t="n">
        <f aca="false">COUNTIFS(Tasks!$C$2:$C$65,A9,Tasks!$I$2:$I$65,"Not started")</f>
        <v>9</v>
      </c>
      <c r="H9" s="8" t="n">
        <f aca="false">COUNTIFS(Tasks!$C$2:$C$65,A9,Tasks!$J$2:$J$65,"Yes",Tasks!$I$2:$I$65,"&lt;&gt;Done")</f>
        <v>0</v>
      </c>
      <c r="I9" s="8" t="n">
        <f aca="false">COUNTIFS(Tasks!$C$2:$C$65,A9,Tasks!$N$2:$N$65,"OVERDUE")</f>
        <v>0</v>
      </c>
      <c r="J9" s="9" t="n">
        <f aca="false">IF(C9=0,0,D9/C9)</f>
        <v>0.4375</v>
      </c>
      <c r="K9" s="8" t="n">
        <f aca="false">SUMIF(Tasks!$C$2:$C$65,A9,Tasks!$F$2:$F$65)</f>
        <v>60</v>
      </c>
      <c r="L9" s="8" t="n">
        <f aca="false">SUMIFS(Tasks!$F$2:$F$65,Tasks!$C$2:$C$65,A9,Tasks!$I$2:$I$65,"Done")</f>
        <v>18</v>
      </c>
      <c r="M9" s="8" t="n">
        <f aca="false">SUMIFS(Tasks!$L$2:$L$65,Tasks!$C$2:$C$65,A9,Tasks!$I$2:$I$65,"Done")</f>
        <v>0</v>
      </c>
      <c r="N9" s="10" t="n">
        <f aca="false">IFERROR(AVERAGEIFS(Tasks!$M$2:$M$65,Tasks!$C$2:$C$65,A9,Tasks!$I$2:$I$65,"Done"),0)</f>
        <v>0</v>
      </c>
      <c r="O9" s="11" t="str">
        <f aca="false">IF(OR(I9&gt;=3,H9&gt;=2),"RED",IF(OR(I9&gt;=1,H9&gt;=1),"AMBER","GREEN"))</f>
        <v>GREEN</v>
      </c>
    </row>
    <row r="10" customFormat="false" ht="15" hidden="false" customHeight="false" outlineLevel="0" collapsed="false">
      <c r="A10" s="7" t="str">
        <f aca="false">Team!A9</f>
        <v>FE</v>
      </c>
      <c r="B10" s="7" t="str">
        <f aca="false">Team!B9</f>
        <v>Name 4</v>
      </c>
      <c r="C10" s="8" t="n">
        <f aca="false">COUNTIF(Tasks!$C$2:$C$65,A10)</f>
        <v>11</v>
      </c>
      <c r="D10" s="8" t="n">
        <f aca="false">COUNTIFS(Tasks!$C$2:$C$65,A10,Tasks!$I$2:$I$65,"Done")</f>
        <v>0</v>
      </c>
      <c r="E10" s="8" t="n">
        <f aca="false">COUNTIFS(Tasks!$C$2:$C$65,A10,Tasks!$I$2:$I$65,"In review")+COUNTIFS(Tasks!$C$2:$C$65,A10,Tasks!$I$2:$I$65,"Testing")</f>
        <v>0</v>
      </c>
      <c r="F10" s="8" t="n">
        <f aca="false">COUNTIFS(Tasks!$C$2:$C$65,A10,Tasks!$I$2:$I$65,"In progress")</f>
        <v>0</v>
      </c>
      <c r="G10" s="8" t="n">
        <f aca="false">COUNTIFS(Tasks!$C$2:$C$65,A10,Tasks!$I$2:$I$65,"Not started")</f>
        <v>11</v>
      </c>
      <c r="H10" s="8" t="n">
        <f aca="false">COUNTIFS(Tasks!$C$2:$C$65,A10,Tasks!$J$2:$J$65,"Yes",Tasks!$I$2:$I$65,"&lt;&gt;Done")</f>
        <v>0</v>
      </c>
      <c r="I10" s="8" t="n">
        <f aca="false">COUNTIFS(Tasks!$C$2:$C$65,A10,Tasks!$N$2:$N$65,"OVERDUE")</f>
        <v>0</v>
      </c>
      <c r="J10" s="9" t="n">
        <f aca="false">IF(C10=0,0,D10/C10)</f>
        <v>0</v>
      </c>
      <c r="K10" s="8" t="n">
        <f aca="false">SUMIF(Tasks!$C$2:$C$65,A10,Tasks!$F$2:$F$65)</f>
        <v>60</v>
      </c>
      <c r="L10" s="8" t="n">
        <f aca="false">SUMIFS(Tasks!$F$2:$F$65,Tasks!$C$2:$C$65,A10,Tasks!$I$2:$I$65,"Done")</f>
        <v>0</v>
      </c>
      <c r="M10" s="8" t="n">
        <f aca="false">SUMIFS(Tasks!$L$2:$L$65,Tasks!$C$2:$C$65,A10,Tasks!$I$2:$I$65,"Done")</f>
        <v>0</v>
      </c>
      <c r="N10" s="10" t="n">
        <f aca="false">IFERROR(AVERAGEIFS(Tasks!$M$2:$M$65,Tasks!$C$2:$C$65,A10,Tasks!$I$2:$I$65,"Done"),0)</f>
        <v>0</v>
      </c>
      <c r="O10" s="11" t="str">
        <f aca="false">IF(OR(I10&gt;=3,H10&gt;=2),"RED",IF(OR(I10&gt;=1,H10&gt;=1),"AMBER","GREEN"))</f>
        <v>GREEN</v>
      </c>
    </row>
    <row r="11" customFormat="false" ht="15" hidden="false" customHeight="false" outlineLevel="0" collapsed="false">
      <c r="A11" s="7" t="str">
        <f aca="false">Team!A10</f>
        <v>QA</v>
      </c>
      <c r="B11" s="7" t="str">
        <f aca="false">Team!B10</f>
        <v>Name 5</v>
      </c>
      <c r="C11" s="8" t="n">
        <f aca="false">COUNTIF(Tasks!$C$2:$C$65,A11)</f>
        <v>7</v>
      </c>
      <c r="D11" s="8" t="n">
        <f aca="false">COUNTIFS(Tasks!$C$2:$C$65,A11,Tasks!$I$2:$I$65,"Done")</f>
        <v>0</v>
      </c>
      <c r="E11" s="8" t="n">
        <f aca="false">COUNTIFS(Tasks!$C$2:$C$65,A11,Tasks!$I$2:$I$65,"In review")+COUNTIFS(Tasks!$C$2:$C$65,A11,Tasks!$I$2:$I$65,"Testing")</f>
        <v>0</v>
      </c>
      <c r="F11" s="8" t="n">
        <f aca="false">COUNTIFS(Tasks!$C$2:$C$65,A11,Tasks!$I$2:$I$65,"In progress")</f>
        <v>0</v>
      </c>
      <c r="G11" s="8" t="n">
        <f aca="false">COUNTIFS(Tasks!$C$2:$C$65,A11,Tasks!$I$2:$I$65,"Not started")</f>
        <v>7</v>
      </c>
      <c r="H11" s="8" t="n">
        <f aca="false">COUNTIFS(Tasks!$C$2:$C$65,A11,Tasks!$J$2:$J$65,"Yes",Tasks!$I$2:$I$65,"&lt;&gt;Done")</f>
        <v>0</v>
      </c>
      <c r="I11" s="8" t="n">
        <f aca="false">COUNTIFS(Tasks!$C$2:$C$65,A11,Tasks!$N$2:$N$65,"OVERDUE")</f>
        <v>0</v>
      </c>
      <c r="J11" s="9" t="n">
        <f aca="false">IF(C11=0,0,D11/C11)</f>
        <v>0</v>
      </c>
      <c r="K11" s="8" t="n">
        <f aca="false">SUMIF(Tasks!$C$2:$C$65,A11,Tasks!$F$2:$F$65)</f>
        <v>48</v>
      </c>
      <c r="L11" s="8" t="n">
        <f aca="false">SUMIFS(Tasks!$F$2:$F$65,Tasks!$C$2:$C$65,A11,Tasks!$I$2:$I$65,"Done")</f>
        <v>0</v>
      </c>
      <c r="M11" s="8" t="n">
        <f aca="false">SUMIFS(Tasks!$L$2:$L$65,Tasks!$C$2:$C$65,A11,Tasks!$I$2:$I$65,"Done")</f>
        <v>0</v>
      </c>
      <c r="N11" s="10" t="n">
        <f aca="false">IFERROR(AVERAGEIFS(Tasks!$M$2:$M$65,Tasks!$C$2:$C$65,A11,Tasks!$I$2:$I$65,"Done"),0)</f>
        <v>0</v>
      </c>
      <c r="O11" s="11" t="str">
        <f aca="false">IF(OR(I11&gt;=3,H11&gt;=2),"RED",IF(OR(I11&gt;=1,H11&gt;=1),"AMBER","GREEN"))</f>
        <v>GREEN</v>
      </c>
    </row>
    <row r="12" customFormat="false" ht="15" hidden="false" customHeight="false" outlineLevel="0" collapsed="false">
      <c r="A12" s="12" t="s">
        <v>37</v>
      </c>
      <c r="B12" s="12"/>
      <c r="C12" s="13" t="n">
        <f aca="false">SUM(C6:C11)</f>
        <v>64</v>
      </c>
      <c r="D12" s="13" t="n">
        <f aca="false">SUM(D6:D11)</f>
        <v>15</v>
      </c>
      <c r="E12" s="13" t="n">
        <f aca="false">SUM(E6:E11)</f>
        <v>0</v>
      </c>
      <c r="F12" s="13" t="n">
        <f aca="false">SUM(F6:F11)</f>
        <v>0</v>
      </c>
      <c r="G12" s="13" t="n">
        <f aca="false">SUM(G6:G11)</f>
        <v>49</v>
      </c>
      <c r="H12" s="13" t="n">
        <f aca="false">SUM(H6:H11)</f>
        <v>0</v>
      </c>
      <c r="I12" s="13" t="n">
        <f aca="false">SUM(I6:I11)</f>
        <v>0</v>
      </c>
      <c r="J12" s="14" t="n">
        <f aca="false">IF(C12=0,0,D12/C12)</f>
        <v>0.234375</v>
      </c>
      <c r="K12" s="13" t="n">
        <f aca="false">SUM(K6:K11)</f>
        <v>299</v>
      </c>
      <c r="L12" s="13" t="n">
        <f aca="false">SUM(L6:L11)</f>
        <v>41</v>
      </c>
      <c r="M12" s="13" t="n">
        <f aca="false">SUM(M6:M11)</f>
        <v>0</v>
      </c>
      <c r="N12" s="13"/>
      <c r="O12" s="13"/>
    </row>
    <row r="15" customFormat="false" ht="15" hidden="false" customHeight="false" outlineLevel="0" collapsed="false">
      <c r="A15" s="5" t="s">
        <v>38</v>
      </c>
    </row>
    <row r="16" customFormat="false" ht="31.5" hidden="false" customHeight="true" outlineLevel="0" collapsed="false">
      <c r="A16" s="6" t="s">
        <v>39</v>
      </c>
      <c r="B16" s="6"/>
      <c r="C16" s="6" t="s">
        <v>24</v>
      </c>
      <c r="D16" s="6" t="s">
        <v>25</v>
      </c>
      <c r="E16" s="6" t="s">
        <v>26</v>
      </c>
      <c r="F16" s="6" t="s">
        <v>27</v>
      </c>
      <c r="G16" s="6" t="s">
        <v>28</v>
      </c>
      <c r="H16" s="6" t="s">
        <v>29</v>
      </c>
      <c r="I16" s="6" t="s">
        <v>30</v>
      </c>
      <c r="J16" s="6" t="s">
        <v>31</v>
      </c>
      <c r="K16" s="6" t="s">
        <v>32</v>
      </c>
      <c r="L16" s="6" t="s">
        <v>33</v>
      </c>
      <c r="M16" s="6" t="s">
        <v>40</v>
      </c>
    </row>
    <row r="17" customFormat="false" ht="15" hidden="false" customHeight="false" outlineLevel="0" collapsed="false">
      <c r="A17" s="7" t="str">
        <f aca="false">Team!A15</f>
        <v>Sprint 0 - Setup</v>
      </c>
      <c r="B17" s="7"/>
      <c r="C17" s="8" t="n">
        <f aca="false">COUNTIF(Tasks!$E$2:$E$65,A17)</f>
        <v>8</v>
      </c>
      <c r="D17" s="8" t="n">
        <f aca="false">COUNTIFS(Tasks!$E$2:$E$65,A17,Tasks!$I$2:$I$65,"Done")</f>
        <v>4</v>
      </c>
      <c r="E17" s="8" t="n">
        <f aca="false">COUNTIFS(Tasks!$E$2:$E$65,A17,Tasks!$I$2:$I$65,"In review")+COUNTIFS(Tasks!$E$2:$E$65,A17,Tasks!$I$2:$I$65,"Testing")</f>
        <v>0</v>
      </c>
      <c r="F17" s="8" t="n">
        <f aca="false">COUNTIFS(Tasks!$E$2:$E$65,A17,Tasks!$I$2:$I$65,"In progress")</f>
        <v>0</v>
      </c>
      <c r="G17" s="8" t="n">
        <f aca="false">COUNTIFS(Tasks!$E$2:$E$65,A17,Tasks!$I$2:$I$65,"Not started")</f>
        <v>4</v>
      </c>
      <c r="H17" s="8" t="n">
        <f aca="false">COUNTIFS(Tasks!$E$2:$E$65,A17,Tasks!$J$2:$J$65,"Yes",Tasks!$I$2:$I$65,"&lt;&gt;Done")</f>
        <v>0</v>
      </c>
      <c r="I17" s="8" t="n">
        <f aca="false">COUNTIFS(Tasks!$E$2:$E$65,A17,Tasks!$N$2:$N$65,"OVERDUE")</f>
        <v>0</v>
      </c>
      <c r="J17" s="9" t="n">
        <f aca="false">IF(C17=0,0,D17/C17)</f>
        <v>0.5</v>
      </c>
      <c r="K17" s="8" t="n">
        <f aca="false">SUMIF(Tasks!$E$2:$E$65,A17,Tasks!$F$2:$F$65)</f>
        <v>21</v>
      </c>
      <c r="L17" s="8" t="n">
        <f aca="false">SUMIFS(Tasks!$F$2:$F$65,Tasks!$E$2:$E$65,A17,Tasks!$I$2:$I$65,"Done")</f>
        <v>9</v>
      </c>
      <c r="M17" s="15" t="n">
        <f aca="false">Team!E15</f>
        <v>46304</v>
      </c>
    </row>
    <row r="18" customFormat="false" ht="15" hidden="false" customHeight="false" outlineLevel="0" collapsed="false">
      <c r="A18" s="7" t="str">
        <f aca="false">Team!A16</f>
        <v>Sprint 1 - Accounts and Roles</v>
      </c>
      <c r="B18" s="7"/>
      <c r="C18" s="8" t="n">
        <f aca="false">COUNTIF(Tasks!$E$2:$E$65,A18)</f>
        <v>11</v>
      </c>
      <c r="D18" s="8" t="n">
        <f aca="false">COUNTIFS(Tasks!$E$2:$E$65,A18,Tasks!$I$2:$I$65,"Done")</f>
        <v>5</v>
      </c>
      <c r="E18" s="8" t="n">
        <f aca="false">COUNTIFS(Tasks!$E$2:$E$65,A18,Tasks!$I$2:$I$65,"In review")+COUNTIFS(Tasks!$E$2:$E$65,A18,Tasks!$I$2:$I$65,"Testing")</f>
        <v>0</v>
      </c>
      <c r="F18" s="8" t="n">
        <f aca="false">COUNTIFS(Tasks!$E$2:$E$65,A18,Tasks!$I$2:$I$65,"In progress")</f>
        <v>0</v>
      </c>
      <c r="G18" s="8" t="n">
        <f aca="false">COUNTIFS(Tasks!$E$2:$E$65,A18,Tasks!$I$2:$I$65,"Not started")</f>
        <v>6</v>
      </c>
      <c r="H18" s="8" t="n">
        <f aca="false">COUNTIFS(Tasks!$E$2:$E$65,A18,Tasks!$J$2:$J$65,"Yes",Tasks!$I$2:$I$65,"&lt;&gt;Done")</f>
        <v>0</v>
      </c>
      <c r="I18" s="8" t="n">
        <f aca="false">COUNTIFS(Tasks!$E$2:$E$65,A18,Tasks!$N$2:$N$65,"OVERDUE")</f>
        <v>0</v>
      </c>
      <c r="J18" s="9" t="n">
        <f aca="false">IF(C18=0,0,D18/C18)</f>
        <v>0.454545454545455</v>
      </c>
      <c r="K18" s="8" t="n">
        <f aca="false">SUMIF(Tasks!$E$2:$E$65,A18,Tasks!$F$2:$F$65)</f>
        <v>50</v>
      </c>
      <c r="L18" s="8" t="n">
        <f aca="false">SUMIFS(Tasks!$F$2:$F$65,Tasks!$E$2:$E$65,A18,Tasks!$I$2:$I$65,"Done")</f>
        <v>16</v>
      </c>
      <c r="M18" s="15" t="n">
        <f aca="false">Team!E16</f>
        <v>46318</v>
      </c>
    </row>
    <row r="19" customFormat="false" ht="15" hidden="false" customHeight="false" outlineLevel="0" collapsed="false">
      <c r="A19" s="7" t="str">
        <f aca="false">Team!A17</f>
        <v>Sprint 2 - Courses, Units and Home Page</v>
      </c>
      <c r="B19" s="7"/>
      <c r="C19" s="8" t="n">
        <f aca="false">COUNTIF(Tasks!$E$2:$E$65,A19)</f>
        <v>11</v>
      </c>
      <c r="D19" s="8" t="n">
        <f aca="false">COUNTIFS(Tasks!$E$2:$E$65,A19,Tasks!$I$2:$I$65,"Done")</f>
        <v>2</v>
      </c>
      <c r="E19" s="8" t="n">
        <f aca="false">COUNTIFS(Tasks!$E$2:$E$65,A19,Tasks!$I$2:$I$65,"In review")+COUNTIFS(Tasks!$E$2:$E$65,A19,Tasks!$I$2:$I$65,"Testing")</f>
        <v>0</v>
      </c>
      <c r="F19" s="8" t="n">
        <f aca="false">COUNTIFS(Tasks!$E$2:$E$65,A19,Tasks!$I$2:$I$65,"In progress")</f>
        <v>0</v>
      </c>
      <c r="G19" s="8" t="n">
        <f aca="false">COUNTIFS(Tasks!$E$2:$E$65,A19,Tasks!$I$2:$I$65,"Not started")</f>
        <v>9</v>
      </c>
      <c r="H19" s="8" t="n">
        <f aca="false">COUNTIFS(Tasks!$E$2:$E$65,A19,Tasks!$J$2:$J$65,"Yes",Tasks!$I$2:$I$65,"&lt;&gt;Done")</f>
        <v>0</v>
      </c>
      <c r="I19" s="8" t="n">
        <f aca="false">COUNTIFS(Tasks!$E$2:$E$65,A19,Tasks!$N$2:$N$65,"OVERDUE")</f>
        <v>0</v>
      </c>
      <c r="J19" s="9" t="n">
        <f aca="false">IF(C19=0,0,D19/C19)</f>
        <v>0.181818181818182</v>
      </c>
      <c r="K19" s="8" t="n">
        <f aca="false">SUMIF(Tasks!$E$2:$E$65,A19,Tasks!$F$2:$F$65)</f>
        <v>52</v>
      </c>
      <c r="L19" s="8" t="n">
        <f aca="false">SUMIFS(Tasks!$F$2:$F$65,Tasks!$E$2:$E$65,A19,Tasks!$I$2:$I$65,"Done")</f>
        <v>5</v>
      </c>
      <c r="M19" s="15" t="n">
        <f aca="false">Team!E17</f>
        <v>46332</v>
      </c>
    </row>
    <row r="20" customFormat="false" ht="15" hidden="false" customHeight="false" outlineLevel="0" collapsed="false">
      <c r="A20" s="7" t="str">
        <f aca="false">Team!A18</f>
        <v>Sprint 3 - Applications and Enrollment</v>
      </c>
      <c r="B20" s="7"/>
      <c r="C20" s="8" t="n">
        <f aca="false">COUNTIF(Tasks!$E$2:$E$65,A20)</f>
        <v>9</v>
      </c>
      <c r="D20" s="8" t="n">
        <f aca="false">COUNTIFS(Tasks!$E$2:$E$65,A20,Tasks!$I$2:$I$65,"Done")</f>
        <v>2</v>
      </c>
      <c r="E20" s="8" t="n">
        <f aca="false">COUNTIFS(Tasks!$E$2:$E$65,A20,Tasks!$I$2:$I$65,"In review")+COUNTIFS(Tasks!$E$2:$E$65,A20,Tasks!$I$2:$I$65,"Testing")</f>
        <v>0</v>
      </c>
      <c r="F20" s="8" t="n">
        <f aca="false">COUNTIFS(Tasks!$E$2:$E$65,A20,Tasks!$I$2:$I$65,"In progress")</f>
        <v>0</v>
      </c>
      <c r="G20" s="8" t="n">
        <f aca="false">COUNTIFS(Tasks!$E$2:$E$65,A20,Tasks!$I$2:$I$65,"Not started")</f>
        <v>7</v>
      </c>
      <c r="H20" s="8" t="n">
        <f aca="false">COUNTIFS(Tasks!$E$2:$E$65,A20,Tasks!$J$2:$J$65,"Yes",Tasks!$I$2:$I$65,"&lt;&gt;Done")</f>
        <v>0</v>
      </c>
      <c r="I20" s="8" t="n">
        <f aca="false">COUNTIFS(Tasks!$E$2:$E$65,A20,Tasks!$N$2:$N$65,"OVERDUE")</f>
        <v>0</v>
      </c>
      <c r="J20" s="9" t="n">
        <f aca="false">IF(C20=0,0,D20/C20)</f>
        <v>0.222222222222222</v>
      </c>
      <c r="K20" s="8" t="n">
        <f aca="false">SUMIF(Tasks!$E$2:$E$65,A20,Tasks!$F$2:$F$65)</f>
        <v>37</v>
      </c>
      <c r="L20" s="8" t="n">
        <f aca="false">SUMIFS(Tasks!$F$2:$F$65,Tasks!$E$2:$E$65,A20,Tasks!$I$2:$I$65,"Done")</f>
        <v>4</v>
      </c>
      <c r="M20" s="15" t="n">
        <f aca="false">Team!E18</f>
        <v>46339</v>
      </c>
    </row>
    <row r="21" customFormat="false" ht="15" hidden="false" customHeight="false" outlineLevel="0" collapsed="false">
      <c r="A21" s="7" t="str">
        <f aca="false">Team!A19</f>
        <v>Sprint 4 - Assessments and Feedback</v>
      </c>
      <c r="B21" s="7"/>
      <c r="C21" s="8" t="n">
        <f aca="false">COUNTIF(Tasks!$E$2:$E$65,A21)</f>
        <v>8</v>
      </c>
      <c r="D21" s="8" t="n">
        <f aca="false">COUNTIFS(Tasks!$E$2:$E$65,A21,Tasks!$I$2:$I$65,"Done")</f>
        <v>1</v>
      </c>
      <c r="E21" s="8" t="n">
        <f aca="false">COUNTIFS(Tasks!$E$2:$E$65,A21,Tasks!$I$2:$I$65,"In review")+COUNTIFS(Tasks!$E$2:$E$65,A21,Tasks!$I$2:$I$65,"Testing")</f>
        <v>0</v>
      </c>
      <c r="F21" s="8" t="n">
        <f aca="false">COUNTIFS(Tasks!$E$2:$E$65,A21,Tasks!$I$2:$I$65,"In progress")</f>
        <v>0</v>
      </c>
      <c r="G21" s="8" t="n">
        <f aca="false">COUNTIFS(Tasks!$E$2:$E$65,A21,Tasks!$I$2:$I$65,"Not started")</f>
        <v>7</v>
      </c>
      <c r="H21" s="8" t="n">
        <f aca="false">COUNTIFS(Tasks!$E$2:$E$65,A21,Tasks!$J$2:$J$65,"Yes",Tasks!$I$2:$I$65,"&lt;&gt;Done")</f>
        <v>0</v>
      </c>
      <c r="I21" s="8" t="n">
        <f aca="false">COUNTIFS(Tasks!$E$2:$E$65,A21,Tasks!$N$2:$N$65,"OVERDUE")</f>
        <v>0</v>
      </c>
      <c r="J21" s="9" t="n">
        <f aca="false">IF(C21=0,0,D21/C21)</f>
        <v>0.125</v>
      </c>
      <c r="K21" s="8" t="n">
        <f aca="false">SUMIF(Tasks!$E$2:$E$65,A21,Tasks!$F$2:$F$65)</f>
        <v>42</v>
      </c>
      <c r="L21" s="8" t="n">
        <f aca="false">SUMIFS(Tasks!$F$2:$F$65,Tasks!$E$2:$E$65,A21,Tasks!$I$2:$I$65,"Done")</f>
        <v>4</v>
      </c>
      <c r="M21" s="15" t="n">
        <f aca="false">Team!E19</f>
        <v>46353</v>
      </c>
    </row>
    <row r="22" customFormat="false" ht="15" hidden="false" customHeight="false" outlineLevel="0" collapsed="false">
      <c r="A22" s="7" t="str">
        <f aca="false">Team!A20</f>
        <v>Sprint 5 - Attendance</v>
      </c>
      <c r="B22" s="7"/>
      <c r="C22" s="8" t="n">
        <f aca="false">COUNTIF(Tasks!$E$2:$E$65,A22)</f>
        <v>8</v>
      </c>
      <c r="D22" s="8" t="n">
        <f aca="false">COUNTIFS(Tasks!$E$2:$E$65,A22,Tasks!$I$2:$I$65,"Done")</f>
        <v>1</v>
      </c>
      <c r="E22" s="8" t="n">
        <f aca="false">COUNTIFS(Tasks!$E$2:$E$65,A22,Tasks!$I$2:$I$65,"In review")+COUNTIFS(Tasks!$E$2:$E$65,A22,Tasks!$I$2:$I$65,"Testing")</f>
        <v>0</v>
      </c>
      <c r="F22" s="8" t="n">
        <f aca="false">COUNTIFS(Tasks!$E$2:$E$65,A22,Tasks!$I$2:$I$65,"In progress")</f>
        <v>0</v>
      </c>
      <c r="G22" s="8" t="n">
        <f aca="false">COUNTIFS(Tasks!$E$2:$E$65,A22,Tasks!$I$2:$I$65,"Not started")</f>
        <v>7</v>
      </c>
      <c r="H22" s="8" t="n">
        <f aca="false">COUNTIFS(Tasks!$E$2:$E$65,A22,Tasks!$J$2:$J$65,"Yes",Tasks!$I$2:$I$65,"&lt;&gt;Done")</f>
        <v>0</v>
      </c>
      <c r="I22" s="8" t="n">
        <f aca="false">COUNTIFS(Tasks!$E$2:$E$65,A22,Tasks!$N$2:$N$65,"OVERDUE")</f>
        <v>0</v>
      </c>
      <c r="J22" s="9" t="n">
        <f aca="false">IF(C22=0,0,D22/C22)</f>
        <v>0.125</v>
      </c>
      <c r="K22" s="8" t="n">
        <f aca="false">SUMIF(Tasks!$E$2:$E$65,A22,Tasks!$F$2:$F$65)</f>
        <v>39</v>
      </c>
      <c r="L22" s="8" t="n">
        <f aca="false">SUMIFS(Tasks!$F$2:$F$65,Tasks!$E$2:$E$65,A22,Tasks!$I$2:$I$65,"Done")</f>
        <v>3</v>
      </c>
      <c r="M22" s="15" t="n">
        <f aca="false">Team!E20</f>
        <v>46360</v>
      </c>
    </row>
    <row r="23" customFormat="false" ht="15" hidden="false" customHeight="false" outlineLevel="0" collapsed="false">
      <c r="A23" s="7" t="str">
        <f aca="false">Team!A21</f>
        <v>Sprint 6 - Dashboards, Polish and Release</v>
      </c>
      <c r="B23" s="7"/>
      <c r="C23" s="8" t="n">
        <f aca="false">COUNTIF(Tasks!$E$2:$E$65,A23)</f>
        <v>9</v>
      </c>
      <c r="D23" s="8" t="n">
        <f aca="false">COUNTIFS(Tasks!$E$2:$E$65,A23,Tasks!$I$2:$I$65,"Done")</f>
        <v>0</v>
      </c>
      <c r="E23" s="8" t="n">
        <f aca="false">COUNTIFS(Tasks!$E$2:$E$65,A23,Tasks!$I$2:$I$65,"In review")+COUNTIFS(Tasks!$E$2:$E$65,A23,Tasks!$I$2:$I$65,"Testing")</f>
        <v>0</v>
      </c>
      <c r="F23" s="8" t="n">
        <f aca="false">COUNTIFS(Tasks!$E$2:$E$65,A23,Tasks!$I$2:$I$65,"In progress")</f>
        <v>0</v>
      </c>
      <c r="G23" s="8" t="n">
        <f aca="false">COUNTIFS(Tasks!$E$2:$E$65,A23,Tasks!$I$2:$I$65,"Not started")</f>
        <v>9</v>
      </c>
      <c r="H23" s="8" t="n">
        <f aca="false">COUNTIFS(Tasks!$E$2:$E$65,A23,Tasks!$J$2:$J$65,"Yes",Tasks!$I$2:$I$65,"&lt;&gt;Done")</f>
        <v>0</v>
      </c>
      <c r="I23" s="8" t="n">
        <f aca="false">COUNTIFS(Tasks!$E$2:$E$65,A23,Tasks!$N$2:$N$65,"OVERDUE")</f>
        <v>0</v>
      </c>
      <c r="J23" s="9" t="n">
        <f aca="false">IF(C23=0,0,D23/C23)</f>
        <v>0</v>
      </c>
      <c r="K23" s="8" t="n">
        <f aca="false">SUMIF(Tasks!$E$2:$E$65,A23,Tasks!$F$2:$F$65)</f>
        <v>58</v>
      </c>
      <c r="L23" s="8" t="n">
        <f aca="false">SUMIFS(Tasks!$F$2:$F$65,Tasks!$E$2:$E$65,A23,Tasks!$I$2:$I$65,"Done")</f>
        <v>0</v>
      </c>
      <c r="M23" s="15" t="n">
        <f aca="false">Team!E21</f>
        <v>46374</v>
      </c>
    </row>
    <row r="25" customFormat="false" ht="15" hidden="false" customHeight="false" outlineLevel="0" collapsed="false">
      <c r="A25" s="16" t="s">
        <v>41</v>
      </c>
    </row>
  </sheetData>
  <conditionalFormatting sqref="O6:O1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I17:I23">
    <cfRule type="cellIs" priority="5" operator="greaterThan" aboveAverage="0" equalAverage="0" bottom="0" percent="0" rank="0" text="" dxfId="3">
      <formula>0</formula>
    </cfRule>
  </conditionalFormatting>
  <conditionalFormatting sqref="H17:H23">
    <cfRule type="cellIs" priority="6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7" t="s">
        <v>42</v>
      </c>
    </row>
    <row r="2" customFormat="false" ht="15" hidden="false" customHeight="false" outlineLevel="0" collapsed="false">
      <c r="A2" s="2" t="s">
        <v>43</v>
      </c>
      <c r="B2" s="18" t="n">
        <v>46300</v>
      </c>
      <c r="C2" s="16" t="s">
        <v>44</v>
      </c>
    </row>
    <row r="4" customFormat="false" ht="15" hidden="false" customHeight="false" outlineLevel="0" collapsed="false">
      <c r="A4" s="6" t="s">
        <v>22</v>
      </c>
      <c r="B4" s="6" t="s">
        <v>45</v>
      </c>
      <c r="C4" s="6" t="s">
        <v>46</v>
      </c>
      <c r="D4" s="6" t="s">
        <v>47</v>
      </c>
    </row>
    <row r="5" customFormat="false" ht="23.85" hidden="false" customHeight="false" outlineLevel="0" collapsed="false">
      <c r="A5" s="19" t="s">
        <v>48</v>
      </c>
      <c r="B5" s="20" t="s">
        <v>49</v>
      </c>
      <c r="C5" s="19" t="s">
        <v>50</v>
      </c>
      <c r="D5" s="19" t="s">
        <v>51</v>
      </c>
    </row>
    <row r="6" customFormat="false" ht="23.85" hidden="false" customHeight="false" outlineLevel="0" collapsed="false">
      <c r="A6" s="19" t="s">
        <v>52</v>
      </c>
      <c r="B6" s="20" t="s">
        <v>53</v>
      </c>
      <c r="C6" s="19" t="s">
        <v>54</v>
      </c>
      <c r="D6" s="19" t="s">
        <v>55</v>
      </c>
    </row>
    <row r="7" customFormat="false" ht="23.85" hidden="false" customHeight="false" outlineLevel="0" collapsed="false">
      <c r="A7" s="19" t="s">
        <v>56</v>
      </c>
      <c r="B7" s="20" t="s">
        <v>57</v>
      </c>
      <c r="C7" s="19" t="s">
        <v>58</v>
      </c>
      <c r="D7" s="19" t="s">
        <v>59</v>
      </c>
    </row>
    <row r="8" customFormat="false" ht="15" hidden="false" customHeight="false" outlineLevel="0" collapsed="false">
      <c r="A8" s="19" t="s">
        <v>60</v>
      </c>
      <c r="B8" s="20" t="s">
        <v>61</v>
      </c>
      <c r="C8" s="19" t="s">
        <v>62</v>
      </c>
      <c r="D8" s="19" t="s">
        <v>63</v>
      </c>
    </row>
    <row r="9" customFormat="false" ht="23.85" hidden="false" customHeight="false" outlineLevel="0" collapsed="false">
      <c r="A9" s="19" t="s">
        <v>64</v>
      </c>
      <c r="B9" s="20" t="s">
        <v>65</v>
      </c>
      <c r="C9" s="19" t="s">
        <v>66</v>
      </c>
      <c r="D9" s="19" t="s">
        <v>67</v>
      </c>
    </row>
    <row r="10" customFormat="false" ht="23.85" hidden="false" customHeight="false" outlineLevel="0" collapsed="false">
      <c r="A10" s="19" t="s">
        <v>68</v>
      </c>
      <c r="B10" s="20" t="s">
        <v>69</v>
      </c>
      <c r="C10" s="19" t="s">
        <v>70</v>
      </c>
      <c r="D10" s="19" t="s">
        <v>71</v>
      </c>
    </row>
    <row r="13" customFormat="false" ht="15" hidden="false" customHeight="false" outlineLevel="0" collapsed="false">
      <c r="A13" s="5" t="s">
        <v>72</v>
      </c>
    </row>
    <row r="14" customFormat="false" ht="15" hidden="false" customHeight="false" outlineLevel="0" collapsed="false">
      <c r="A14" s="6" t="s">
        <v>39</v>
      </c>
      <c r="B14" s="6" t="s">
        <v>73</v>
      </c>
      <c r="C14" s="6" t="s">
        <v>74</v>
      </c>
      <c r="D14" s="6" t="s">
        <v>75</v>
      </c>
      <c r="E14" s="6" t="s">
        <v>76</v>
      </c>
    </row>
    <row r="15" customFormat="false" ht="15" hidden="false" customHeight="false" outlineLevel="0" collapsed="false">
      <c r="A15" s="7" t="s">
        <v>77</v>
      </c>
      <c r="B15" s="21" t="n">
        <v>0</v>
      </c>
      <c r="C15" s="21" t="n">
        <v>1</v>
      </c>
      <c r="D15" s="22" t="n">
        <f aca="false">$B$2+7*B15</f>
        <v>46300</v>
      </c>
      <c r="E15" s="22" t="n">
        <f aca="false">$B$2+7*C15-3</f>
        <v>46304</v>
      </c>
    </row>
    <row r="16" customFormat="false" ht="15" hidden="false" customHeight="false" outlineLevel="0" collapsed="false">
      <c r="A16" s="7" t="s">
        <v>78</v>
      </c>
      <c r="B16" s="21" t="n">
        <v>1</v>
      </c>
      <c r="C16" s="21" t="n">
        <v>3</v>
      </c>
      <c r="D16" s="22" t="n">
        <f aca="false">$B$2+7*B16</f>
        <v>46307</v>
      </c>
      <c r="E16" s="22" t="n">
        <f aca="false">$B$2+7*C16-3</f>
        <v>46318</v>
      </c>
    </row>
    <row r="17" customFormat="false" ht="15" hidden="false" customHeight="false" outlineLevel="0" collapsed="false">
      <c r="A17" s="7" t="s">
        <v>79</v>
      </c>
      <c r="B17" s="21" t="n">
        <v>3</v>
      </c>
      <c r="C17" s="21" t="n">
        <v>5</v>
      </c>
      <c r="D17" s="22" t="n">
        <f aca="false">$B$2+7*B17</f>
        <v>46321</v>
      </c>
      <c r="E17" s="22" t="n">
        <f aca="false">$B$2+7*C17-3</f>
        <v>46332</v>
      </c>
    </row>
    <row r="18" customFormat="false" ht="15" hidden="false" customHeight="false" outlineLevel="0" collapsed="false">
      <c r="A18" s="7" t="s">
        <v>80</v>
      </c>
      <c r="B18" s="21" t="n">
        <v>5</v>
      </c>
      <c r="C18" s="21" t="n">
        <v>6</v>
      </c>
      <c r="D18" s="22" t="n">
        <f aca="false">$B$2+7*B18</f>
        <v>46335</v>
      </c>
      <c r="E18" s="22" t="n">
        <f aca="false">$B$2+7*C18-3</f>
        <v>46339</v>
      </c>
    </row>
    <row r="19" customFormat="false" ht="15" hidden="false" customHeight="false" outlineLevel="0" collapsed="false">
      <c r="A19" s="7" t="s">
        <v>81</v>
      </c>
      <c r="B19" s="21" t="n">
        <v>6</v>
      </c>
      <c r="C19" s="21" t="n">
        <v>8</v>
      </c>
      <c r="D19" s="22" t="n">
        <f aca="false">$B$2+7*B19</f>
        <v>46342</v>
      </c>
      <c r="E19" s="22" t="n">
        <f aca="false">$B$2+7*C19-3</f>
        <v>46353</v>
      </c>
    </row>
    <row r="20" customFormat="false" ht="15" hidden="false" customHeight="false" outlineLevel="0" collapsed="false">
      <c r="A20" s="7" t="s">
        <v>82</v>
      </c>
      <c r="B20" s="21" t="n">
        <v>8</v>
      </c>
      <c r="C20" s="21" t="n">
        <v>9</v>
      </c>
      <c r="D20" s="22" t="n">
        <f aca="false">$B$2+7*B20</f>
        <v>46356</v>
      </c>
      <c r="E20" s="22" t="n">
        <f aca="false">$B$2+7*C20-3</f>
        <v>46360</v>
      </c>
    </row>
    <row r="21" customFormat="false" ht="15" hidden="false" customHeight="false" outlineLevel="0" collapsed="false">
      <c r="A21" s="7" t="s">
        <v>83</v>
      </c>
      <c r="B21" s="21" t="n">
        <v>9</v>
      </c>
      <c r="C21" s="21" t="n">
        <v>11</v>
      </c>
      <c r="D21" s="22" t="n">
        <f aca="false">$B$2+7*B21</f>
        <v>46363</v>
      </c>
      <c r="E21" s="22" t="n">
        <f aca="false">$B$2+7*C21-3</f>
        <v>46374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4" min="12" style="0" width="11"/>
    <col collapsed="false" customWidth="true" hidden="false" outlineLevel="0" max="15" min="15" style="0" width="40"/>
  </cols>
  <sheetData>
    <row r="1" customFormat="false" ht="23.85" hidden="false" customHeight="false" outlineLevel="0" collapsed="false">
      <c r="A1" s="6" t="s">
        <v>84</v>
      </c>
      <c r="B1" s="6" t="s">
        <v>85</v>
      </c>
      <c r="C1" s="6" t="s">
        <v>86</v>
      </c>
      <c r="D1" s="6" t="s">
        <v>23</v>
      </c>
      <c r="E1" s="6" t="s">
        <v>39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</row>
    <row r="2" customFormat="false" ht="15" hidden="false" customHeight="false" outlineLevel="0" collapsed="false">
      <c r="A2" s="19" t="s">
        <v>97</v>
      </c>
      <c r="B2" s="19" t="s">
        <v>98</v>
      </c>
      <c r="C2" s="19" t="s">
        <v>48</v>
      </c>
      <c r="D2" s="23" t="str">
        <f aca="false">IFERROR(INDEX(Team!$B$5:$B$10,MATCH(C2,Team!$A$5:$A$10,0)),"")</f>
        <v>Lead (you)</v>
      </c>
      <c r="E2" s="19" t="s">
        <v>77</v>
      </c>
      <c r="F2" s="19" t="n">
        <v>1</v>
      </c>
      <c r="G2" s="19"/>
      <c r="H2" s="19" t="s">
        <v>99</v>
      </c>
      <c r="I2" s="24" t="s">
        <v>28</v>
      </c>
      <c r="J2" s="24"/>
      <c r="K2" s="25" t="n">
        <f aca="false">IFERROR(INDEX(Team!$E$15:$E$21,MATCH(E2,Team!$A$15:$A$21,0)),"")</f>
        <v>46304</v>
      </c>
      <c r="L2" s="24"/>
      <c r="M2" s="24"/>
      <c r="N2" s="23" t="str">
        <f aca="true">IF(AND(I2&lt;&gt;"Done",K2&lt;&gt;"",K2&lt;TODAY()),"OVERDUE","")</f>
        <v/>
      </c>
      <c r="O2" s="24"/>
    </row>
    <row r="3" customFormat="false" ht="23.85" hidden="false" customHeight="false" outlineLevel="0" collapsed="false">
      <c r="A3" s="19" t="s">
        <v>100</v>
      </c>
      <c r="B3" s="19" t="s">
        <v>101</v>
      </c>
      <c r="C3" s="19" t="s">
        <v>52</v>
      </c>
      <c r="D3" s="23" t="str">
        <f aca="false">IFERROR(INDEX(Team!$B$5:$B$10,MATCH(C3,Team!$A$5:$A$10,0)),"")</f>
        <v>Name 1</v>
      </c>
      <c r="E3" s="19" t="s">
        <v>77</v>
      </c>
      <c r="F3" s="19" t="n">
        <v>3</v>
      </c>
      <c r="G3" s="19" t="s">
        <v>97</v>
      </c>
      <c r="H3" s="19" t="s">
        <v>99</v>
      </c>
      <c r="I3" s="24" t="s">
        <v>25</v>
      </c>
      <c r="J3" s="24"/>
      <c r="K3" s="25" t="n">
        <f aca="false">IFERROR(INDEX(Team!$E$15:$E$21,MATCH(E3,Team!$A$15:$A$21,0)),"")</f>
        <v>46304</v>
      </c>
      <c r="L3" s="24"/>
      <c r="M3" s="24"/>
      <c r="N3" s="23" t="str">
        <f aca="true">IF(AND(I3&lt;&gt;"Done",K3&lt;&gt;"",K3&lt;TODAY()),"OVERDUE","")</f>
        <v/>
      </c>
      <c r="O3" s="24" t="s">
        <v>102</v>
      </c>
    </row>
    <row r="4" customFormat="false" ht="23.85" hidden="false" customHeight="false" outlineLevel="0" collapsed="false">
      <c r="A4" s="19" t="s">
        <v>103</v>
      </c>
      <c r="B4" s="19" t="s">
        <v>104</v>
      </c>
      <c r="C4" s="19" t="s">
        <v>60</v>
      </c>
      <c r="D4" s="23" t="str">
        <f aca="false">IFERROR(INDEX(Team!$B$5:$B$10,MATCH(C4,Team!$A$5:$A$10,0)),"")</f>
        <v>Name 3</v>
      </c>
      <c r="E4" s="19" t="s">
        <v>77</v>
      </c>
      <c r="F4" s="19" t="n">
        <v>2</v>
      </c>
      <c r="G4" s="19" t="s">
        <v>100</v>
      </c>
      <c r="H4" s="19" t="s">
        <v>99</v>
      </c>
      <c r="I4" s="24" t="s">
        <v>25</v>
      </c>
      <c r="J4" s="24"/>
      <c r="K4" s="25" t="n">
        <f aca="false">IFERROR(INDEX(Team!$E$15:$E$21,MATCH(E4,Team!$A$15:$A$21,0)),"")</f>
        <v>46304</v>
      </c>
      <c r="L4" s="24"/>
      <c r="M4" s="24"/>
      <c r="N4" s="23" t="str">
        <f aca="true">IF(AND(I4&lt;&gt;"Done",K4&lt;&gt;"",K4&lt;TODAY()),"OVERDUE","")</f>
        <v/>
      </c>
      <c r="O4" s="24" t="s">
        <v>102</v>
      </c>
    </row>
    <row r="5" customFormat="false" ht="23.85" hidden="false" customHeight="false" outlineLevel="0" collapsed="false">
      <c r="A5" s="19" t="s">
        <v>105</v>
      </c>
      <c r="B5" s="19" t="s">
        <v>106</v>
      </c>
      <c r="C5" s="19" t="s">
        <v>52</v>
      </c>
      <c r="D5" s="23" t="str">
        <f aca="false">IFERROR(INDEX(Team!$B$5:$B$10,MATCH(C5,Team!$A$5:$A$10,0)),"")</f>
        <v>Name 1</v>
      </c>
      <c r="E5" s="19" t="s">
        <v>77</v>
      </c>
      <c r="F5" s="19" t="n">
        <v>1</v>
      </c>
      <c r="G5" s="19" t="s">
        <v>100</v>
      </c>
      <c r="H5" s="19" t="s">
        <v>99</v>
      </c>
      <c r="I5" s="24" t="s">
        <v>25</v>
      </c>
      <c r="J5" s="24"/>
      <c r="K5" s="25" t="n">
        <f aca="false">IFERROR(INDEX(Team!$E$15:$E$21,MATCH(E5,Team!$A$15:$A$21,0)),"")</f>
        <v>46304</v>
      </c>
      <c r="L5" s="24"/>
      <c r="M5" s="24"/>
      <c r="N5" s="23" t="str">
        <f aca="true">IF(AND(I5&lt;&gt;"Done",K5&lt;&gt;"",K5&lt;TODAY()),"OVERDUE","")</f>
        <v/>
      </c>
      <c r="O5" s="24" t="s">
        <v>102</v>
      </c>
    </row>
    <row r="6" customFormat="false" ht="23.85" hidden="false" customHeight="false" outlineLevel="0" collapsed="false">
      <c r="A6" s="19" t="s">
        <v>107</v>
      </c>
      <c r="B6" s="19" t="s">
        <v>108</v>
      </c>
      <c r="C6" s="19" t="s">
        <v>64</v>
      </c>
      <c r="D6" s="23" t="str">
        <f aca="false">IFERROR(INDEX(Team!$B$5:$B$10,MATCH(C6,Team!$A$5:$A$10,0)),"")</f>
        <v>Name 4</v>
      </c>
      <c r="E6" s="19" t="s">
        <v>77</v>
      </c>
      <c r="F6" s="19" t="n">
        <v>4</v>
      </c>
      <c r="G6" s="19" t="s">
        <v>105</v>
      </c>
      <c r="H6" s="19" t="s">
        <v>99</v>
      </c>
      <c r="I6" s="24" t="s">
        <v>28</v>
      </c>
      <c r="J6" s="24"/>
      <c r="K6" s="25" t="n">
        <f aca="false">IFERROR(INDEX(Team!$E$15:$E$21,MATCH(E6,Team!$A$15:$A$21,0)),"")</f>
        <v>46304</v>
      </c>
      <c r="L6" s="24"/>
      <c r="M6" s="24"/>
      <c r="N6" s="23" t="str">
        <f aca="true">IF(AND(I6&lt;&gt;"Done",K6&lt;&gt;"",K6&lt;TODAY()),"OVERDUE","")</f>
        <v/>
      </c>
      <c r="O6" s="24" t="s">
        <v>109</v>
      </c>
    </row>
    <row r="7" customFormat="false" ht="23.85" hidden="false" customHeight="false" outlineLevel="0" collapsed="false">
      <c r="A7" s="19" t="s">
        <v>110</v>
      </c>
      <c r="B7" s="19" t="s">
        <v>111</v>
      </c>
      <c r="C7" s="19" t="s">
        <v>56</v>
      </c>
      <c r="D7" s="23" t="str">
        <f aca="false">IFERROR(INDEX(Team!$B$5:$B$10,MATCH(C7,Team!$A$5:$A$10,0)),"")</f>
        <v>Name 2</v>
      </c>
      <c r="E7" s="19" t="s">
        <v>77</v>
      </c>
      <c r="F7" s="19" t="n">
        <v>3</v>
      </c>
      <c r="G7" s="19" t="s">
        <v>97</v>
      </c>
      <c r="H7" s="19" t="s">
        <v>112</v>
      </c>
      <c r="I7" s="24" t="s">
        <v>25</v>
      </c>
      <c r="J7" s="24"/>
      <c r="K7" s="25" t="n">
        <f aca="false">IFERROR(INDEX(Team!$E$15:$E$21,MATCH(E7,Team!$A$15:$A$21,0)),"")</f>
        <v>46304</v>
      </c>
      <c r="L7" s="24"/>
      <c r="M7" s="24"/>
      <c r="N7" s="23" t="str">
        <f aca="true">IF(AND(I7&lt;&gt;"Done",K7&lt;&gt;"",K7&lt;TODAY()),"OVERDUE","")</f>
        <v/>
      </c>
      <c r="O7" s="24" t="s">
        <v>102</v>
      </c>
    </row>
    <row r="8" customFormat="false" ht="23.85" hidden="false" customHeight="false" outlineLevel="0" collapsed="false">
      <c r="A8" s="19" t="s">
        <v>113</v>
      </c>
      <c r="B8" s="19" t="s">
        <v>114</v>
      </c>
      <c r="C8" s="19" t="s">
        <v>48</v>
      </c>
      <c r="D8" s="23" t="str">
        <f aca="false">IFERROR(INDEX(Team!$B$5:$B$10,MATCH(C8,Team!$A$5:$A$10,0)),"")</f>
        <v>Lead (you)</v>
      </c>
      <c r="E8" s="19" t="s">
        <v>77</v>
      </c>
      <c r="F8" s="19" t="n">
        <v>2</v>
      </c>
      <c r="G8" s="19"/>
      <c r="H8" s="19" t="s">
        <v>99</v>
      </c>
      <c r="I8" s="24" t="s">
        <v>28</v>
      </c>
      <c r="J8" s="24"/>
      <c r="K8" s="25" t="n">
        <f aca="false">IFERROR(INDEX(Team!$E$15:$E$21,MATCH(E8,Team!$A$15:$A$21,0)),"")</f>
        <v>46304</v>
      </c>
      <c r="L8" s="24"/>
      <c r="M8" s="24"/>
      <c r="N8" s="23" t="str">
        <f aca="true">IF(AND(I8&lt;&gt;"Done",K8&lt;&gt;"",K8&lt;TODAY()),"OVERDUE","")</f>
        <v/>
      </c>
      <c r="O8" s="24"/>
    </row>
    <row r="9" customFormat="false" ht="23.85" hidden="false" customHeight="false" outlineLevel="0" collapsed="false">
      <c r="A9" s="19" t="s">
        <v>115</v>
      </c>
      <c r="B9" s="19" t="s">
        <v>116</v>
      </c>
      <c r="C9" s="19" t="s">
        <v>68</v>
      </c>
      <c r="D9" s="23" t="str">
        <f aca="false">IFERROR(INDEX(Team!$B$5:$B$10,MATCH(C9,Team!$A$5:$A$10,0)),"")</f>
        <v>Name 5</v>
      </c>
      <c r="E9" s="19" t="s">
        <v>77</v>
      </c>
      <c r="F9" s="19" t="n">
        <v>5</v>
      </c>
      <c r="G9" s="19" t="s">
        <v>105</v>
      </c>
      <c r="H9" s="19" t="s">
        <v>112</v>
      </c>
      <c r="I9" s="24" t="s">
        <v>28</v>
      </c>
      <c r="J9" s="24"/>
      <c r="K9" s="25" t="n">
        <f aca="false">IFERROR(INDEX(Team!$E$15:$E$21,MATCH(E9,Team!$A$15:$A$21,0)),"")</f>
        <v>46304</v>
      </c>
      <c r="L9" s="24"/>
      <c r="M9" s="24"/>
      <c r="N9" s="23" t="str">
        <f aca="true">IF(AND(I9&lt;&gt;"Done",K9&lt;&gt;"",K9&lt;TODAY()),"OVERDUE","")</f>
        <v/>
      </c>
      <c r="O9" s="24" t="s">
        <v>109</v>
      </c>
    </row>
    <row r="10" customFormat="false" ht="23.85" hidden="false" customHeight="false" outlineLevel="0" collapsed="false">
      <c r="A10" s="19" t="s">
        <v>117</v>
      </c>
      <c r="B10" s="19" t="s">
        <v>118</v>
      </c>
      <c r="C10" s="19" t="s">
        <v>52</v>
      </c>
      <c r="D10" s="23" t="str">
        <f aca="false">IFERROR(INDEX(Team!$B$5:$B$10,MATCH(C10,Team!$A$5:$A$10,0)),"")</f>
        <v>Name 1</v>
      </c>
      <c r="E10" s="19" t="s">
        <v>78</v>
      </c>
      <c r="F10" s="19" t="n">
        <v>3</v>
      </c>
      <c r="G10" s="19" t="s">
        <v>105</v>
      </c>
      <c r="H10" s="19" t="s">
        <v>99</v>
      </c>
      <c r="I10" s="24" t="s">
        <v>25</v>
      </c>
      <c r="J10" s="24"/>
      <c r="K10" s="25" t="n">
        <f aca="false">IFERROR(INDEX(Team!$E$15:$E$21,MATCH(E10,Team!$A$15:$A$21,0)),"")</f>
        <v>46318</v>
      </c>
      <c r="L10" s="24"/>
      <c r="M10" s="24"/>
      <c r="N10" s="23" t="str">
        <f aca="true">IF(AND(I10&lt;&gt;"Done",K10&lt;&gt;"",K10&lt;TODAY()),"OVERDUE","")</f>
        <v/>
      </c>
      <c r="O10" s="24" t="s">
        <v>102</v>
      </c>
    </row>
    <row r="11" customFormat="false" ht="23.85" hidden="false" customHeight="false" outlineLevel="0" collapsed="false">
      <c r="A11" s="19" t="s">
        <v>119</v>
      </c>
      <c r="B11" s="19" t="s">
        <v>120</v>
      </c>
      <c r="C11" s="19" t="s">
        <v>52</v>
      </c>
      <c r="D11" s="23" t="str">
        <f aca="false">IFERROR(INDEX(Team!$B$5:$B$10,MATCH(C11,Team!$A$5:$A$10,0)),"")</f>
        <v>Name 1</v>
      </c>
      <c r="E11" s="19" t="s">
        <v>78</v>
      </c>
      <c r="F11" s="19" t="n">
        <v>3</v>
      </c>
      <c r="G11" s="19" t="s">
        <v>117</v>
      </c>
      <c r="H11" s="19" t="s">
        <v>99</v>
      </c>
      <c r="I11" s="24" t="s">
        <v>25</v>
      </c>
      <c r="J11" s="24"/>
      <c r="K11" s="25" t="n">
        <f aca="false">IFERROR(INDEX(Team!$E$15:$E$21,MATCH(E11,Team!$A$15:$A$21,0)),"")</f>
        <v>46318</v>
      </c>
      <c r="L11" s="24"/>
      <c r="M11" s="24"/>
      <c r="N11" s="23" t="str">
        <f aca="true">IF(AND(I11&lt;&gt;"Done",K11&lt;&gt;"",K11&lt;TODAY()),"OVERDUE","")</f>
        <v/>
      </c>
      <c r="O11" s="24" t="s">
        <v>102</v>
      </c>
    </row>
    <row r="12" customFormat="false" ht="15" hidden="false" customHeight="false" outlineLevel="0" collapsed="false">
      <c r="A12" s="19" t="s">
        <v>121</v>
      </c>
      <c r="B12" s="19" t="s">
        <v>122</v>
      </c>
      <c r="C12" s="19" t="s">
        <v>60</v>
      </c>
      <c r="D12" s="23" t="str">
        <f aca="false">IFERROR(INDEX(Team!$B$5:$B$10,MATCH(C12,Team!$A$5:$A$10,0)),"")</f>
        <v>Name 3</v>
      </c>
      <c r="E12" s="19" t="s">
        <v>78</v>
      </c>
      <c r="F12" s="19" t="n">
        <v>6</v>
      </c>
      <c r="G12" s="19" t="s">
        <v>117</v>
      </c>
      <c r="H12" s="19" t="s">
        <v>99</v>
      </c>
      <c r="I12" s="24" t="s">
        <v>28</v>
      </c>
      <c r="J12" s="24"/>
      <c r="K12" s="25" t="n">
        <f aca="false">IFERROR(INDEX(Team!$E$15:$E$21,MATCH(E12,Team!$A$15:$A$21,0)),"")</f>
        <v>46318</v>
      </c>
      <c r="L12" s="24"/>
      <c r="M12" s="24"/>
      <c r="N12" s="23" t="str">
        <f aca="true">IF(AND(I12&lt;&gt;"Done",K12&lt;&gt;"",K12&lt;TODAY()),"OVERDUE","")</f>
        <v/>
      </c>
      <c r="O12" s="24" t="s">
        <v>109</v>
      </c>
    </row>
    <row r="13" customFormat="false" ht="23.85" hidden="false" customHeight="false" outlineLevel="0" collapsed="false">
      <c r="A13" s="19" t="s">
        <v>123</v>
      </c>
      <c r="B13" s="19" t="s">
        <v>124</v>
      </c>
      <c r="C13" s="19" t="s">
        <v>52</v>
      </c>
      <c r="D13" s="23" t="str">
        <f aca="false">IFERROR(INDEX(Team!$B$5:$B$10,MATCH(C13,Team!$A$5:$A$10,0)),"")</f>
        <v>Name 1</v>
      </c>
      <c r="E13" s="19" t="s">
        <v>78</v>
      </c>
      <c r="F13" s="19" t="n">
        <v>4</v>
      </c>
      <c r="G13" s="19" t="s">
        <v>119</v>
      </c>
      <c r="H13" s="19" t="s">
        <v>99</v>
      </c>
      <c r="I13" s="24" t="s">
        <v>25</v>
      </c>
      <c r="J13" s="24"/>
      <c r="K13" s="25" t="n">
        <f aca="false">IFERROR(INDEX(Team!$E$15:$E$21,MATCH(E13,Team!$A$15:$A$21,0)),"")</f>
        <v>46318</v>
      </c>
      <c r="L13" s="24"/>
      <c r="M13" s="24"/>
      <c r="N13" s="23" t="str">
        <f aca="true">IF(AND(I13&lt;&gt;"Done",K13&lt;&gt;"",K13&lt;TODAY()),"OVERDUE","")</f>
        <v/>
      </c>
      <c r="O13" s="24" t="s">
        <v>102</v>
      </c>
    </row>
    <row r="14" customFormat="false" ht="15" hidden="false" customHeight="false" outlineLevel="0" collapsed="false">
      <c r="A14" s="19" t="s">
        <v>125</v>
      </c>
      <c r="B14" s="19" t="s">
        <v>126</v>
      </c>
      <c r="C14" s="19" t="s">
        <v>56</v>
      </c>
      <c r="D14" s="23" t="str">
        <f aca="false">IFERROR(INDEX(Team!$B$5:$B$10,MATCH(C14,Team!$A$5:$A$10,0)),"")</f>
        <v>Name 2</v>
      </c>
      <c r="E14" s="19" t="s">
        <v>78</v>
      </c>
      <c r="F14" s="19" t="n">
        <v>6</v>
      </c>
      <c r="G14" s="19" t="s">
        <v>123</v>
      </c>
      <c r="H14" s="19" t="s">
        <v>99</v>
      </c>
      <c r="I14" s="24" t="s">
        <v>28</v>
      </c>
      <c r="J14" s="24"/>
      <c r="K14" s="25" t="n">
        <f aca="false">IFERROR(INDEX(Team!$E$15:$E$21,MATCH(E14,Team!$A$15:$A$21,0)),"")</f>
        <v>46318</v>
      </c>
      <c r="L14" s="24"/>
      <c r="M14" s="24"/>
      <c r="N14" s="23" t="str">
        <f aca="true">IF(AND(I14&lt;&gt;"Done",K14&lt;&gt;"",K14&lt;TODAY()),"OVERDUE","")</f>
        <v/>
      </c>
      <c r="O14" s="24"/>
    </row>
    <row r="15" customFormat="false" ht="15" hidden="false" customHeight="false" outlineLevel="0" collapsed="false">
      <c r="A15" s="19" t="s">
        <v>127</v>
      </c>
      <c r="B15" s="19" t="s">
        <v>128</v>
      </c>
      <c r="C15" s="19" t="s">
        <v>56</v>
      </c>
      <c r="D15" s="23" t="str">
        <f aca="false">IFERROR(INDEX(Team!$B$5:$B$10,MATCH(C15,Team!$A$5:$A$10,0)),"")</f>
        <v>Name 2</v>
      </c>
      <c r="E15" s="19" t="s">
        <v>78</v>
      </c>
      <c r="F15" s="19" t="n">
        <v>4</v>
      </c>
      <c r="G15" s="19" t="s">
        <v>125</v>
      </c>
      <c r="H15" s="19" t="s">
        <v>99</v>
      </c>
      <c r="I15" s="24" t="s">
        <v>28</v>
      </c>
      <c r="J15" s="24"/>
      <c r="K15" s="25" t="n">
        <f aca="false">IFERROR(INDEX(Team!$E$15:$E$21,MATCH(E15,Team!$A$15:$A$21,0)),"")</f>
        <v>46318</v>
      </c>
      <c r="L15" s="24"/>
      <c r="M15" s="24"/>
      <c r="N15" s="23" t="str">
        <f aca="true">IF(AND(I15&lt;&gt;"Done",K15&lt;&gt;"",K15&lt;TODAY()),"OVERDUE","")</f>
        <v/>
      </c>
      <c r="O15" s="24"/>
    </row>
    <row r="16" customFormat="false" ht="15" hidden="false" customHeight="false" outlineLevel="0" collapsed="false">
      <c r="A16" s="19" t="s">
        <v>129</v>
      </c>
      <c r="B16" s="19" t="s">
        <v>130</v>
      </c>
      <c r="C16" s="19" t="s">
        <v>64</v>
      </c>
      <c r="D16" s="23" t="str">
        <f aca="false">IFERROR(INDEX(Team!$B$5:$B$10,MATCH(C16,Team!$A$5:$A$10,0)),"")</f>
        <v>Name 4</v>
      </c>
      <c r="E16" s="19" t="s">
        <v>78</v>
      </c>
      <c r="F16" s="19" t="n">
        <v>4</v>
      </c>
      <c r="G16" s="19" t="s">
        <v>121</v>
      </c>
      <c r="H16" s="19" t="s">
        <v>112</v>
      </c>
      <c r="I16" s="24" t="s">
        <v>28</v>
      </c>
      <c r="J16" s="24"/>
      <c r="K16" s="25" t="n">
        <f aca="false">IFERROR(INDEX(Team!$E$15:$E$21,MATCH(E16,Team!$A$15:$A$21,0)),"")</f>
        <v>46318</v>
      </c>
      <c r="L16" s="24"/>
      <c r="M16" s="24"/>
      <c r="N16" s="23" t="str">
        <f aca="true">IF(AND(I16&lt;&gt;"Done",K16&lt;&gt;"",K16&lt;TODAY()),"OVERDUE","")</f>
        <v/>
      </c>
      <c r="O16" s="24"/>
    </row>
    <row r="17" customFormat="false" ht="23.85" hidden="false" customHeight="false" outlineLevel="0" collapsed="false">
      <c r="A17" s="19" t="s">
        <v>131</v>
      </c>
      <c r="B17" s="19" t="s">
        <v>132</v>
      </c>
      <c r="C17" s="19" t="s">
        <v>60</v>
      </c>
      <c r="D17" s="23" t="str">
        <f aca="false">IFERROR(INDEX(Team!$B$5:$B$10,MATCH(C17,Team!$A$5:$A$10,0)),"")</f>
        <v>Name 3</v>
      </c>
      <c r="E17" s="19" t="s">
        <v>78</v>
      </c>
      <c r="F17" s="19" t="n">
        <v>3</v>
      </c>
      <c r="G17" s="19" t="s">
        <v>123</v>
      </c>
      <c r="H17" s="19" t="s">
        <v>112</v>
      </c>
      <c r="I17" s="24" t="s">
        <v>25</v>
      </c>
      <c r="J17" s="24"/>
      <c r="K17" s="25" t="n">
        <f aca="false">IFERROR(INDEX(Team!$E$15:$E$21,MATCH(E17,Team!$A$15:$A$21,0)),"")</f>
        <v>46318</v>
      </c>
      <c r="L17" s="24"/>
      <c r="M17" s="24"/>
      <c r="N17" s="23" t="str">
        <f aca="true">IF(AND(I17&lt;&gt;"Done",K17&lt;&gt;"",K17&lt;TODAY()),"OVERDUE","")</f>
        <v/>
      </c>
      <c r="O17" s="24" t="s">
        <v>102</v>
      </c>
    </row>
    <row r="18" customFormat="false" ht="15" hidden="false" customHeight="false" outlineLevel="0" collapsed="false">
      <c r="A18" s="19" t="s">
        <v>133</v>
      </c>
      <c r="B18" s="19" t="s">
        <v>134</v>
      </c>
      <c r="C18" s="19" t="s">
        <v>68</v>
      </c>
      <c r="D18" s="23" t="str">
        <f aca="false">IFERROR(INDEX(Team!$B$5:$B$10,MATCH(C18,Team!$A$5:$A$10,0)),"")</f>
        <v>Name 5</v>
      </c>
      <c r="E18" s="19" t="s">
        <v>78</v>
      </c>
      <c r="F18" s="19" t="n">
        <v>6</v>
      </c>
      <c r="G18" s="19" t="s">
        <v>127</v>
      </c>
      <c r="H18" s="19" t="s">
        <v>99</v>
      </c>
      <c r="I18" s="24" t="s">
        <v>28</v>
      </c>
      <c r="J18" s="24"/>
      <c r="K18" s="25" t="n">
        <f aca="false">IFERROR(INDEX(Team!$E$15:$E$21,MATCH(E18,Team!$A$15:$A$21,0)),"")</f>
        <v>46318</v>
      </c>
      <c r="L18" s="24"/>
      <c r="M18" s="24"/>
      <c r="N18" s="23" t="str">
        <f aca="true">IF(AND(I18&lt;&gt;"Done",K18&lt;&gt;"",K18&lt;TODAY()),"OVERDUE","")</f>
        <v/>
      </c>
      <c r="O18" s="24"/>
    </row>
    <row r="19" customFormat="false" ht="23.85" hidden="false" customHeight="false" outlineLevel="0" collapsed="false">
      <c r="A19" s="19" t="s">
        <v>135</v>
      </c>
      <c r="B19" s="19" t="s">
        <v>136</v>
      </c>
      <c r="C19" s="19" t="s">
        <v>60</v>
      </c>
      <c r="D19" s="23" t="str">
        <f aca="false">IFERROR(INDEX(Team!$B$5:$B$10,MATCH(C19,Team!$A$5:$A$10,0)),"")</f>
        <v>Name 3</v>
      </c>
      <c r="E19" s="19" t="s">
        <v>78</v>
      </c>
      <c r="F19" s="19" t="n">
        <v>3</v>
      </c>
      <c r="G19" s="19" t="s">
        <v>119</v>
      </c>
      <c r="H19" s="19" t="s">
        <v>137</v>
      </c>
      <c r="I19" s="24" t="s">
        <v>25</v>
      </c>
      <c r="J19" s="24"/>
      <c r="K19" s="25" t="n">
        <f aca="false">IFERROR(INDEX(Team!$E$15:$E$21,MATCH(E19,Team!$A$15:$A$21,0)),"")</f>
        <v>46318</v>
      </c>
      <c r="L19" s="24"/>
      <c r="M19" s="24"/>
      <c r="N19" s="23" t="str">
        <f aca="true">IF(AND(I19&lt;&gt;"Done",K19&lt;&gt;"",K19&lt;TODAY()),"OVERDUE","")</f>
        <v/>
      </c>
      <c r="O19" s="24" t="s">
        <v>102</v>
      </c>
    </row>
    <row r="20" customFormat="false" ht="23.85" hidden="false" customHeight="false" outlineLevel="0" collapsed="false">
      <c r="A20" s="19" t="s">
        <v>138</v>
      </c>
      <c r="B20" s="19" t="s">
        <v>139</v>
      </c>
      <c r="C20" s="19" t="s">
        <v>64</v>
      </c>
      <c r="D20" s="23" t="str">
        <f aca="false">IFERROR(INDEX(Team!$B$5:$B$10,MATCH(C20,Team!$A$5:$A$10,0)),"")</f>
        <v>Name 4</v>
      </c>
      <c r="E20" s="19" t="s">
        <v>78</v>
      </c>
      <c r="F20" s="19" t="n">
        <v>8</v>
      </c>
      <c r="G20" s="19" t="s">
        <v>107</v>
      </c>
      <c r="H20" s="19" t="s">
        <v>112</v>
      </c>
      <c r="I20" s="24" t="s">
        <v>28</v>
      </c>
      <c r="J20" s="24"/>
      <c r="K20" s="25" t="n">
        <f aca="false">IFERROR(INDEX(Team!$E$15:$E$21,MATCH(E20,Team!$A$15:$A$21,0)),"")</f>
        <v>46318</v>
      </c>
      <c r="L20" s="24"/>
      <c r="M20" s="24"/>
      <c r="N20" s="23" t="str">
        <f aca="true">IF(AND(I20&lt;&gt;"Done",K20&lt;&gt;"",K20&lt;TODAY()),"OVERDUE","")</f>
        <v/>
      </c>
      <c r="O20" s="24"/>
    </row>
    <row r="21" customFormat="false" ht="23.85" hidden="false" customHeight="false" outlineLevel="0" collapsed="false">
      <c r="A21" s="19" t="s">
        <v>140</v>
      </c>
      <c r="B21" s="19" t="s">
        <v>141</v>
      </c>
      <c r="C21" s="19" t="s">
        <v>56</v>
      </c>
      <c r="D21" s="23" t="str">
        <f aca="false">IFERROR(INDEX(Team!$B$5:$B$10,MATCH(C21,Team!$A$5:$A$10,0)),"")</f>
        <v>Name 2</v>
      </c>
      <c r="E21" s="19" t="s">
        <v>79</v>
      </c>
      <c r="F21" s="19" t="n">
        <v>3</v>
      </c>
      <c r="G21" s="19" t="s">
        <v>123</v>
      </c>
      <c r="H21" s="19" t="s">
        <v>99</v>
      </c>
      <c r="I21" s="24" t="s">
        <v>25</v>
      </c>
      <c r="J21" s="24"/>
      <c r="K21" s="25" t="n">
        <f aca="false">IFERROR(INDEX(Team!$E$15:$E$21,MATCH(E21,Team!$A$15:$A$21,0)),"")</f>
        <v>46332</v>
      </c>
      <c r="L21" s="24"/>
      <c r="M21" s="24"/>
      <c r="N21" s="23" t="str">
        <f aca="true">IF(AND(I21&lt;&gt;"Done",K21&lt;&gt;"",K21&lt;TODAY()),"OVERDUE","")</f>
        <v/>
      </c>
      <c r="O21" s="24" t="s">
        <v>102</v>
      </c>
    </row>
    <row r="22" customFormat="false" ht="23.85" hidden="false" customHeight="false" outlineLevel="0" collapsed="false">
      <c r="A22" s="19" t="s">
        <v>142</v>
      </c>
      <c r="B22" s="19" t="s">
        <v>143</v>
      </c>
      <c r="C22" s="19" t="s">
        <v>60</v>
      </c>
      <c r="D22" s="23" t="str">
        <f aca="false">IFERROR(INDEX(Team!$B$5:$B$10,MATCH(C22,Team!$A$5:$A$10,0)),"")</f>
        <v>Name 3</v>
      </c>
      <c r="E22" s="19" t="s">
        <v>79</v>
      </c>
      <c r="F22" s="19" t="n">
        <v>2</v>
      </c>
      <c r="G22" s="19" t="s">
        <v>140</v>
      </c>
      <c r="H22" s="19" t="s">
        <v>99</v>
      </c>
      <c r="I22" s="24" t="s">
        <v>25</v>
      </c>
      <c r="J22" s="24"/>
      <c r="K22" s="25" t="n">
        <f aca="false">IFERROR(INDEX(Team!$E$15:$E$21,MATCH(E22,Team!$A$15:$A$21,0)),"")</f>
        <v>46332</v>
      </c>
      <c r="L22" s="24"/>
      <c r="M22" s="24"/>
      <c r="N22" s="23" t="str">
        <f aca="true">IF(AND(I22&lt;&gt;"Done",K22&lt;&gt;"",K22&lt;TODAY()),"OVERDUE","")</f>
        <v/>
      </c>
      <c r="O22" s="24" t="s">
        <v>102</v>
      </c>
    </row>
    <row r="23" customFormat="false" ht="23.85" hidden="false" customHeight="false" outlineLevel="0" collapsed="false">
      <c r="A23" s="19" t="s">
        <v>144</v>
      </c>
      <c r="B23" s="19" t="s">
        <v>145</v>
      </c>
      <c r="C23" s="19" t="s">
        <v>56</v>
      </c>
      <c r="D23" s="23" t="str">
        <f aca="false">IFERROR(INDEX(Team!$B$5:$B$10,MATCH(C23,Team!$A$5:$A$10,0)),"")</f>
        <v>Name 2</v>
      </c>
      <c r="E23" s="19" t="s">
        <v>79</v>
      </c>
      <c r="F23" s="19" t="n">
        <v>8</v>
      </c>
      <c r="G23" s="19" t="s">
        <v>140</v>
      </c>
      <c r="H23" s="19" t="s">
        <v>99</v>
      </c>
      <c r="I23" s="24" t="s">
        <v>28</v>
      </c>
      <c r="J23" s="24"/>
      <c r="K23" s="25" t="n">
        <f aca="false">IFERROR(INDEX(Team!$E$15:$E$21,MATCH(E23,Team!$A$15:$A$21,0)),"")</f>
        <v>46332</v>
      </c>
      <c r="L23" s="24"/>
      <c r="M23" s="24"/>
      <c r="N23" s="23" t="str">
        <f aca="true">IF(AND(I23&lt;&gt;"Done",K23&lt;&gt;"",K23&lt;TODAY()),"OVERDUE","")</f>
        <v/>
      </c>
      <c r="O23" s="24"/>
    </row>
    <row r="24" customFormat="false" ht="23.85" hidden="false" customHeight="false" outlineLevel="0" collapsed="false">
      <c r="A24" s="19" t="s">
        <v>146</v>
      </c>
      <c r="B24" s="19" t="s">
        <v>147</v>
      </c>
      <c r="C24" s="19" t="s">
        <v>60</v>
      </c>
      <c r="D24" s="23" t="str">
        <f aca="false">IFERROR(INDEX(Team!$B$5:$B$10,MATCH(C24,Team!$A$5:$A$10,0)),"")</f>
        <v>Name 3</v>
      </c>
      <c r="E24" s="19" t="s">
        <v>79</v>
      </c>
      <c r="F24" s="19" t="n">
        <v>3</v>
      </c>
      <c r="G24" s="19" t="s">
        <v>144</v>
      </c>
      <c r="H24" s="19" t="s">
        <v>112</v>
      </c>
      <c r="I24" s="24" t="s">
        <v>28</v>
      </c>
      <c r="J24" s="24"/>
      <c r="K24" s="25" t="n">
        <f aca="false">IFERROR(INDEX(Team!$E$15:$E$21,MATCH(E24,Team!$A$15:$A$21,0)),"")</f>
        <v>46332</v>
      </c>
      <c r="L24" s="24"/>
      <c r="M24" s="24"/>
      <c r="N24" s="23" t="str">
        <f aca="true">IF(AND(I24&lt;&gt;"Done",K24&lt;&gt;"",K24&lt;TODAY()),"OVERDUE","")</f>
        <v/>
      </c>
      <c r="O24" s="24"/>
    </row>
    <row r="25" customFormat="false" ht="23.85" hidden="false" customHeight="false" outlineLevel="0" collapsed="false">
      <c r="A25" s="19" t="s">
        <v>148</v>
      </c>
      <c r="B25" s="19" t="s">
        <v>149</v>
      </c>
      <c r="C25" s="19" t="s">
        <v>60</v>
      </c>
      <c r="D25" s="23" t="str">
        <f aca="false">IFERROR(INDEX(Team!$B$5:$B$10,MATCH(C25,Team!$A$5:$A$10,0)),"")</f>
        <v>Name 3</v>
      </c>
      <c r="E25" s="19" t="s">
        <v>79</v>
      </c>
      <c r="F25" s="19" t="n">
        <v>2</v>
      </c>
      <c r="G25" s="19" t="s">
        <v>144</v>
      </c>
      <c r="H25" s="19" t="s">
        <v>99</v>
      </c>
      <c r="I25" s="24" t="s">
        <v>28</v>
      </c>
      <c r="J25" s="24"/>
      <c r="K25" s="25" t="n">
        <f aca="false">IFERROR(INDEX(Team!$E$15:$E$21,MATCH(E25,Team!$A$15:$A$21,0)),"")</f>
        <v>46332</v>
      </c>
      <c r="L25" s="24"/>
      <c r="M25" s="24"/>
      <c r="N25" s="23" t="str">
        <f aca="true">IF(AND(I25&lt;&gt;"Done",K25&lt;&gt;"",K25&lt;TODAY()),"OVERDUE","")</f>
        <v/>
      </c>
      <c r="O25" s="24"/>
    </row>
    <row r="26" customFormat="false" ht="23.85" hidden="false" customHeight="false" outlineLevel="0" collapsed="false">
      <c r="A26" s="19" t="s">
        <v>150</v>
      </c>
      <c r="B26" s="19" t="s">
        <v>151</v>
      </c>
      <c r="C26" s="19" t="s">
        <v>52</v>
      </c>
      <c r="D26" s="23" t="str">
        <f aca="false">IFERROR(INDEX(Team!$B$5:$B$10,MATCH(C26,Team!$A$5:$A$10,0)),"")</f>
        <v>Name 1</v>
      </c>
      <c r="E26" s="19" t="s">
        <v>79</v>
      </c>
      <c r="F26" s="19" t="n">
        <v>6</v>
      </c>
      <c r="G26" s="19" t="s">
        <v>142</v>
      </c>
      <c r="H26" s="19" t="s">
        <v>99</v>
      </c>
      <c r="I26" s="24" t="s">
        <v>28</v>
      </c>
      <c r="J26" s="24"/>
      <c r="K26" s="25" t="n">
        <f aca="false">IFERROR(INDEX(Team!$E$15:$E$21,MATCH(E26,Team!$A$15:$A$21,0)),"")</f>
        <v>46332</v>
      </c>
      <c r="L26" s="24"/>
      <c r="M26" s="24"/>
      <c r="N26" s="23" t="str">
        <f aca="true">IF(AND(I26&lt;&gt;"Done",K26&lt;&gt;"",K26&lt;TODAY()),"OVERDUE","")</f>
        <v/>
      </c>
      <c r="O26" s="24"/>
    </row>
    <row r="27" customFormat="false" ht="23.85" hidden="false" customHeight="false" outlineLevel="0" collapsed="false">
      <c r="A27" s="19" t="s">
        <v>152</v>
      </c>
      <c r="B27" s="19" t="s">
        <v>153</v>
      </c>
      <c r="C27" s="19" t="s">
        <v>64</v>
      </c>
      <c r="D27" s="23" t="str">
        <f aca="false">IFERROR(INDEX(Team!$B$5:$B$10,MATCH(C27,Team!$A$5:$A$10,0)),"")</f>
        <v>Name 4</v>
      </c>
      <c r="E27" s="19" t="s">
        <v>79</v>
      </c>
      <c r="F27" s="19" t="n">
        <v>8</v>
      </c>
      <c r="G27" s="19" t="s">
        <v>148</v>
      </c>
      <c r="H27" s="19" t="s">
        <v>99</v>
      </c>
      <c r="I27" s="24" t="s">
        <v>28</v>
      </c>
      <c r="J27" s="24"/>
      <c r="K27" s="25" t="n">
        <f aca="false">IFERROR(INDEX(Team!$E$15:$E$21,MATCH(E27,Team!$A$15:$A$21,0)),"")</f>
        <v>46332</v>
      </c>
      <c r="L27" s="24"/>
      <c r="M27" s="24"/>
      <c r="N27" s="23" t="str">
        <f aca="true">IF(AND(I27&lt;&gt;"Done",K27&lt;&gt;"",K27&lt;TODAY()),"OVERDUE","")</f>
        <v/>
      </c>
      <c r="O27" s="24" t="s">
        <v>109</v>
      </c>
    </row>
    <row r="28" customFormat="false" ht="23.85" hidden="false" customHeight="false" outlineLevel="0" collapsed="false">
      <c r="A28" s="19" t="s">
        <v>154</v>
      </c>
      <c r="B28" s="19" t="s">
        <v>155</v>
      </c>
      <c r="C28" s="19" t="s">
        <v>64</v>
      </c>
      <c r="D28" s="23" t="str">
        <f aca="false">IFERROR(INDEX(Team!$B$5:$B$10,MATCH(C28,Team!$A$5:$A$10,0)),"")</f>
        <v>Name 4</v>
      </c>
      <c r="E28" s="19" t="s">
        <v>79</v>
      </c>
      <c r="F28" s="19" t="n">
        <v>5</v>
      </c>
      <c r="G28" s="19" t="s">
        <v>148</v>
      </c>
      <c r="H28" s="19" t="s">
        <v>99</v>
      </c>
      <c r="I28" s="24" t="s">
        <v>28</v>
      </c>
      <c r="J28" s="24"/>
      <c r="K28" s="25" t="n">
        <f aca="false">IFERROR(INDEX(Team!$E$15:$E$21,MATCH(E28,Team!$A$15:$A$21,0)),"")</f>
        <v>46332</v>
      </c>
      <c r="L28" s="24"/>
      <c r="M28" s="24"/>
      <c r="N28" s="23" t="str">
        <f aca="true">IF(AND(I28&lt;&gt;"Done",K28&lt;&gt;"",K28&lt;TODAY()),"OVERDUE","")</f>
        <v/>
      </c>
      <c r="O28" s="24" t="s">
        <v>109</v>
      </c>
    </row>
    <row r="29" customFormat="false" ht="23.85" hidden="false" customHeight="false" outlineLevel="0" collapsed="false">
      <c r="A29" s="19" t="s">
        <v>156</v>
      </c>
      <c r="B29" s="19" t="s">
        <v>157</v>
      </c>
      <c r="C29" s="19" t="s">
        <v>64</v>
      </c>
      <c r="D29" s="23" t="str">
        <f aca="false">IFERROR(INDEX(Team!$B$5:$B$10,MATCH(C29,Team!$A$5:$A$10,0)),"")</f>
        <v>Name 4</v>
      </c>
      <c r="E29" s="19" t="s">
        <v>79</v>
      </c>
      <c r="F29" s="19" t="n">
        <v>4</v>
      </c>
      <c r="G29" s="19" t="s">
        <v>144</v>
      </c>
      <c r="H29" s="19" t="s">
        <v>112</v>
      </c>
      <c r="I29" s="24" t="s">
        <v>28</v>
      </c>
      <c r="J29" s="24"/>
      <c r="K29" s="25" t="n">
        <f aca="false">IFERROR(INDEX(Team!$E$15:$E$21,MATCH(E29,Team!$A$15:$A$21,0)),"")</f>
        <v>46332</v>
      </c>
      <c r="L29" s="24"/>
      <c r="M29" s="24"/>
      <c r="N29" s="23" t="str">
        <f aca="true">IF(AND(I29&lt;&gt;"Done",K29&lt;&gt;"",K29&lt;TODAY()),"OVERDUE","")</f>
        <v/>
      </c>
      <c r="O29" s="24"/>
    </row>
    <row r="30" customFormat="false" ht="23.85" hidden="false" customHeight="false" outlineLevel="0" collapsed="false">
      <c r="A30" s="19" t="s">
        <v>158</v>
      </c>
      <c r="B30" s="19" t="s">
        <v>159</v>
      </c>
      <c r="C30" s="19" t="s">
        <v>52</v>
      </c>
      <c r="D30" s="23" t="str">
        <f aca="false">IFERROR(INDEX(Team!$B$5:$B$10,MATCH(C30,Team!$A$5:$A$10,0)),"")</f>
        <v>Name 1</v>
      </c>
      <c r="E30" s="19" t="s">
        <v>79</v>
      </c>
      <c r="F30" s="19" t="n">
        <v>3</v>
      </c>
      <c r="G30" s="19" t="s">
        <v>150</v>
      </c>
      <c r="H30" s="19" t="s">
        <v>112</v>
      </c>
      <c r="I30" s="24" t="s">
        <v>28</v>
      </c>
      <c r="J30" s="24"/>
      <c r="K30" s="25" t="n">
        <f aca="false">IFERROR(INDEX(Team!$E$15:$E$21,MATCH(E30,Team!$A$15:$A$21,0)),"")</f>
        <v>46332</v>
      </c>
      <c r="L30" s="24"/>
      <c r="M30" s="24"/>
      <c r="N30" s="23" t="str">
        <f aca="true">IF(AND(I30&lt;&gt;"Done",K30&lt;&gt;"",K30&lt;TODAY()),"OVERDUE","")</f>
        <v/>
      </c>
      <c r="O30" s="24"/>
    </row>
    <row r="31" customFormat="false" ht="23.85" hidden="false" customHeight="false" outlineLevel="0" collapsed="false">
      <c r="A31" s="19" t="s">
        <v>160</v>
      </c>
      <c r="B31" s="19" t="s">
        <v>161</v>
      </c>
      <c r="C31" s="19" t="s">
        <v>68</v>
      </c>
      <c r="D31" s="23" t="str">
        <f aca="false">IFERROR(INDEX(Team!$B$5:$B$10,MATCH(C31,Team!$A$5:$A$10,0)),"")</f>
        <v>Name 5</v>
      </c>
      <c r="E31" s="19" t="s">
        <v>79</v>
      </c>
      <c r="F31" s="19" t="n">
        <v>8</v>
      </c>
      <c r="G31" s="19" t="s">
        <v>152</v>
      </c>
      <c r="H31" s="19" t="s">
        <v>99</v>
      </c>
      <c r="I31" s="24" t="s">
        <v>28</v>
      </c>
      <c r="J31" s="24"/>
      <c r="K31" s="25" t="n">
        <f aca="false">IFERROR(INDEX(Team!$E$15:$E$21,MATCH(E31,Team!$A$15:$A$21,0)),"")</f>
        <v>46332</v>
      </c>
      <c r="L31" s="24"/>
      <c r="M31" s="24"/>
      <c r="N31" s="23" t="str">
        <f aca="true">IF(AND(I31&lt;&gt;"Done",K31&lt;&gt;"",K31&lt;TODAY()),"OVERDUE","")</f>
        <v/>
      </c>
      <c r="O31" s="24"/>
    </row>
    <row r="32" customFormat="false" ht="23.85" hidden="false" customHeight="false" outlineLevel="0" collapsed="false">
      <c r="A32" s="19" t="s">
        <v>162</v>
      </c>
      <c r="B32" s="19" t="s">
        <v>163</v>
      </c>
      <c r="C32" s="19" t="s">
        <v>60</v>
      </c>
      <c r="D32" s="23" t="str">
        <f aca="false">IFERROR(INDEX(Team!$B$5:$B$10,MATCH(C32,Team!$A$5:$A$10,0)),"")</f>
        <v>Name 3</v>
      </c>
      <c r="E32" s="19" t="s">
        <v>80</v>
      </c>
      <c r="F32" s="19" t="n">
        <v>2</v>
      </c>
      <c r="G32" s="19" t="s">
        <v>140</v>
      </c>
      <c r="H32" s="19" t="s">
        <v>99</v>
      </c>
      <c r="I32" s="24" t="s">
        <v>25</v>
      </c>
      <c r="J32" s="24"/>
      <c r="K32" s="25" t="n">
        <f aca="false">IFERROR(INDEX(Team!$E$15:$E$21,MATCH(E32,Team!$A$15:$A$21,0)),"")</f>
        <v>46339</v>
      </c>
      <c r="L32" s="24"/>
      <c r="M32" s="24"/>
      <c r="N32" s="23" t="str">
        <f aca="true">IF(AND(I32&lt;&gt;"Done",K32&lt;&gt;"",K32&lt;TODAY()),"OVERDUE","")</f>
        <v/>
      </c>
      <c r="O32" s="24" t="s">
        <v>102</v>
      </c>
    </row>
    <row r="33" customFormat="false" ht="23.85" hidden="false" customHeight="false" outlineLevel="0" collapsed="false">
      <c r="A33" s="19" t="s">
        <v>164</v>
      </c>
      <c r="B33" s="19" t="s">
        <v>165</v>
      </c>
      <c r="C33" s="19" t="s">
        <v>60</v>
      </c>
      <c r="D33" s="23" t="str">
        <f aca="false">IFERROR(INDEX(Team!$B$5:$B$10,MATCH(C33,Team!$A$5:$A$10,0)),"")</f>
        <v>Name 3</v>
      </c>
      <c r="E33" s="19" t="s">
        <v>80</v>
      </c>
      <c r="F33" s="19" t="n">
        <v>2</v>
      </c>
      <c r="G33" s="19" t="s">
        <v>162</v>
      </c>
      <c r="H33" s="19" t="s">
        <v>99</v>
      </c>
      <c r="I33" s="24" t="s">
        <v>25</v>
      </c>
      <c r="J33" s="24"/>
      <c r="K33" s="25" t="n">
        <f aca="false">IFERROR(INDEX(Team!$E$15:$E$21,MATCH(E33,Team!$A$15:$A$21,0)),"")</f>
        <v>46339</v>
      </c>
      <c r="L33" s="24"/>
      <c r="M33" s="24"/>
      <c r="N33" s="23" t="str">
        <f aca="true">IF(AND(I33&lt;&gt;"Done",K33&lt;&gt;"",K33&lt;TODAY()),"OVERDUE","")</f>
        <v/>
      </c>
      <c r="O33" s="24" t="s">
        <v>102</v>
      </c>
    </row>
    <row r="34" customFormat="false" ht="15" hidden="false" customHeight="false" outlineLevel="0" collapsed="false">
      <c r="A34" s="19" t="s">
        <v>166</v>
      </c>
      <c r="B34" s="19" t="s">
        <v>167</v>
      </c>
      <c r="C34" s="19" t="s">
        <v>56</v>
      </c>
      <c r="D34" s="23" t="str">
        <f aca="false">IFERROR(INDEX(Team!$B$5:$B$10,MATCH(C34,Team!$A$5:$A$10,0)),"")</f>
        <v>Name 2</v>
      </c>
      <c r="E34" s="19" t="s">
        <v>80</v>
      </c>
      <c r="F34" s="19" t="n">
        <v>5</v>
      </c>
      <c r="G34" s="19" t="s">
        <v>162</v>
      </c>
      <c r="H34" s="19" t="s">
        <v>99</v>
      </c>
      <c r="I34" s="24" t="s">
        <v>28</v>
      </c>
      <c r="J34" s="24"/>
      <c r="K34" s="25" t="n">
        <f aca="false">IFERROR(INDEX(Team!$E$15:$E$21,MATCH(E34,Team!$A$15:$A$21,0)),"")</f>
        <v>46339</v>
      </c>
      <c r="L34" s="24"/>
      <c r="M34" s="24"/>
      <c r="N34" s="23" t="str">
        <f aca="true">IF(AND(I34&lt;&gt;"Done",K34&lt;&gt;"",K34&lt;TODAY()),"OVERDUE","")</f>
        <v/>
      </c>
      <c r="O34" s="24"/>
    </row>
    <row r="35" customFormat="false" ht="15" hidden="false" customHeight="false" outlineLevel="0" collapsed="false">
      <c r="A35" s="19" t="s">
        <v>168</v>
      </c>
      <c r="B35" s="19" t="s">
        <v>169</v>
      </c>
      <c r="C35" s="19" t="s">
        <v>64</v>
      </c>
      <c r="D35" s="23" t="str">
        <f aca="false">IFERROR(INDEX(Team!$B$5:$B$10,MATCH(C35,Team!$A$5:$A$10,0)),"")</f>
        <v>Name 4</v>
      </c>
      <c r="E35" s="19" t="s">
        <v>80</v>
      </c>
      <c r="F35" s="19" t="n">
        <v>4</v>
      </c>
      <c r="G35" s="19" t="s">
        <v>166</v>
      </c>
      <c r="H35" s="19" t="s">
        <v>112</v>
      </c>
      <c r="I35" s="24" t="s">
        <v>28</v>
      </c>
      <c r="J35" s="24"/>
      <c r="K35" s="25" t="n">
        <f aca="false">IFERROR(INDEX(Team!$E$15:$E$21,MATCH(E35,Team!$A$15:$A$21,0)),"")</f>
        <v>46339</v>
      </c>
      <c r="L35" s="24"/>
      <c r="M35" s="24"/>
      <c r="N35" s="23" t="str">
        <f aca="true">IF(AND(I35&lt;&gt;"Done",K35&lt;&gt;"",K35&lt;TODAY()),"OVERDUE","")</f>
        <v/>
      </c>
      <c r="O35" s="24"/>
    </row>
    <row r="36" customFormat="false" ht="15" hidden="false" customHeight="false" outlineLevel="0" collapsed="false">
      <c r="A36" s="19" t="s">
        <v>170</v>
      </c>
      <c r="B36" s="19" t="s">
        <v>171</v>
      </c>
      <c r="C36" s="19" t="s">
        <v>60</v>
      </c>
      <c r="D36" s="23" t="str">
        <f aca="false">IFERROR(INDEX(Team!$B$5:$B$10,MATCH(C36,Team!$A$5:$A$10,0)),"")</f>
        <v>Name 3</v>
      </c>
      <c r="E36" s="19" t="s">
        <v>80</v>
      </c>
      <c r="F36" s="19" t="n">
        <v>5</v>
      </c>
      <c r="G36" s="19" t="s">
        <v>162</v>
      </c>
      <c r="H36" s="19" t="s">
        <v>99</v>
      </c>
      <c r="I36" s="24" t="s">
        <v>28</v>
      </c>
      <c r="J36" s="24"/>
      <c r="K36" s="25" t="n">
        <f aca="false">IFERROR(INDEX(Team!$E$15:$E$21,MATCH(E36,Team!$A$15:$A$21,0)),"")</f>
        <v>46339</v>
      </c>
      <c r="L36" s="24"/>
      <c r="M36" s="24"/>
      <c r="N36" s="23" t="str">
        <f aca="true">IF(AND(I36&lt;&gt;"Done",K36&lt;&gt;"",K36&lt;TODAY()),"OVERDUE","")</f>
        <v/>
      </c>
      <c r="O36" s="24"/>
    </row>
    <row r="37" customFormat="false" ht="15" hidden="false" customHeight="false" outlineLevel="0" collapsed="false">
      <c r="A37" s="19" t="s">
        <v>172</v>
      </c>
      <c r="B37" s="19" t="s">
        <v>173</v>
      </c>
      <c r="C37" s="19" t="s">
        <v>52</v>
      </c>
      <c r="D37" s="23" t="str">
        <f aca="false">IFERROR(INDEX(Team!$B$5:$B$10,MATCH(C37,Team!$A$5:$A$10,0)),"")</f>
        <v>Name 1</v>
      </c>
      <c r="E37" s="19" t="s">
        <v>80</v>
      </c>
      <c r="F37" s="19" t="n">
        <v>5</v>
      </c>
      <c r="G37" s="19" t="s">
        <v>164</v>
      </c>
      <c r="H37" s="19" t="s">
        <v>99</v>
      </c>
      <c r="I37" s="24" t="s">
        <v>28</v>
      </c>
      <c r="J37" s="24"/>
      <c r="K37" s="25" t="n">
        <f aca="false">IFERROR(INDEX(Team!$E$15:$E$21,MATCH(E37,Team!$A$15:$A$21,0)),"")</f>
        <v>46339</v>
      </c>
      <c r="L37" s="24"/>
      <c r="M37" s="24"/>
      <c r="N37" s="23" t="str">
        <f aca="true">IF(AND(I37&lt;&gt;"Done",K37&lt;&gt;"",K37&lt;TODAY()),"OVERDUE","")</f>
        <v/>
      </c>
      <c r="O37" s="24"/>
    </row>
    <row r="38" customFormat="false" ht="15" hidden="false" customHeight="false" outlineLevel="0" collapsed="false">
      <c r="A38" s="19" t="s">
        <v>174</v>
      </c>
      <c r="B38" s="19" t="s">
        <v>175</v>
      </c>
      <c r="C38" s="19" t="s">
        <v>60</v>
      </c>
      <c r="D38" s="23" t="str">
        <f aca="false">IFERROR(INDEX(Team!$B$5:$B$10,MATCH(C38,Team!$A$5:$A$10,0)),"")</f>
        <v>Name 3</v>
      </c>
      <c r="E38" s="19" t="s">
        <v>80</v>
      </c>
      <c r="F38" s="19" t="n">
        <v>3</v>
      </c>
      <c r="G38" s="19" t="s">
        <v>172</v>
      </c>
      <c r="H38" s="19" t="s">
        <v>137</v>
      </c>
      <c r="I38" s="24" t="s">
        <v>28</v>
      </c>
      <c r="J38" s="24"/>
      <c r="K38" s="25" t="n">
        <f aca="false">IFERROR(INDEX(Team!$E$15:$E$21,MATCH(E38,Team!$A$15:$A$21,0)),"")</f>
        <v>46339</v>
      </c>
      <c r="L38" s="24"/>
      <c r="M38" s="24"/>
      <c r="N38" s="23" t="str">
        <f aca="true">IF(AND(I38&lt;&gt;"Done",K38&lt;&gt;"",K38&lt;TODAY()),"OVERDUE","")</f>
        <v/>
      </c>
      <c r="O38" s="24"/>
    </row>
    <row r="39" customFormat="false" ht="15" hidden="false" customHeight="false" outlineLevel="0" collapsed="false">
      <c r="A39" s="19" t="s">
        <v>176</v>
      </c>
      <c r="B39" s="19" t="s">
        <v>177</v>
      </c>
      <c r="C39" s="19" t="s">
        <v>64</v>
      </c>
      <c r="D39" s="23" t="str">
        <f aca="false">IFERROR(INDEX(Team!$B$5:$B$10,MATCH(C39,Team!$A$5:$A$10,0)),"")</f>
        <v>Name 4</v>
      </c>
      <c r="E39" s="19" t="s">
        <v>80</v>
      </c>
      <c r="F39" s="19" t="n">
        <v>5</v>
      </c>
      <c r="G39" s="19" t="s">
        <v>172</v>
      </c>
      <c r="H39" s="19" t="s">
        <v>112</v>
      </c>
      <c r="I39" s="24" t="s">
        <v>28</v>
      </c>
      <c r="J39" s="24"/>
      <c r="K39" s="25" t="n">
        <f aca="false">IFERROR(INDEX(Team!$E$15:$E$21,MATCH(E39,Team!$A$15:$A$21,0)),"")</f>
        <v>46339</v>
      </c>
      <c r="L39" s="24"/>
      <c r="M39" s="24"/>
      <c r="N39" s="23" t="str">
        <f aca="true">IF(AND(I39&lt;&gt;"Done",K39&lt;&gt;"",K39&lt;TODAY()),"OVERDUE","")</f>
        <v/>
      </c>
      <c r="O39" s="24"/>
    </row>
    <row r="40" customFormat="false" ht="15" hidden="false" customHeight="false" outlineLevel="0" collapsed="false">
      <c r="A40" s="19" t="s">
        <v>178</v>
      </c>
      <c r="B40" s="19" t="s">
        <v>179</v>
      </c>
      <c r="C40" s="19" t="s">
        <v>68</v>
      </c>
      <c r="D40" s="23" t="str">
        <f aca="false">IFERROR(INDEX(Team!$B$5:$B$10,MATCH(C40,Team!$A$5:$A$10,0)),"")</f>
        <v>Name 5</v>
      </c>
      <c r="E40" s="19" t="s">
        <v>80</v>
      </c>
      <c r="F40" s="19" t="n">
        <v>6</v>
      </c>
      <c r="G40" s="19" t="s">
        <v>172</v>
      </c>
      <c r="H40" s="19" t="s">
        <v>99</v>
      </c>
      <c r="I40" s="24" t="s">
        <v>28</v>
      </c>
      <c r="J40" s="24"/>
      <c r="K40" s="25" t="n">
        <f aca="false">IFERROR(INDEX(Team!$E$15:$E$21,MATCH(E40,Team!$A$15:$A$21,0)),"")</f>
        <v>46339</v>
      </c>
      <c r="L40" s="24"/>
      <c r="M40" s="24"/>
      <c r="N40" s="23" t="str">
        <f aca="true">IF(AND(I40&lt;&gt;"Done",K40&lt;&gt;"",K40&lt;TODAY()),"OVERDUE","")</f>
        <v/>
      </c>
      <c r="O40" s="24"/>
    </row>
    <row r="41" customFormat="false" ht="23.85" hidden="false" customHeight="false" outlineLevel="0" collapsed="false">
      <c r="A41" s="19" t="s">
        <v>180</v>
      </c>
      <c r="B41" s="19" t="s">
        <v>181</v>
      </c>
      <c r="C41" s="19" t="s">
        <v>60</v>
      </c>
      <c r="D41" s="23" t="str">
        <f aca="false">IFERROR(INDEX(Team!$B$5:$B$10,MATCH(C41,Team!$A$5:$A$10,0)),"")</f>
        <v>Name 3</v>
      </c>
      <c r="E41" s="19" t="s">
        <v>81</v>
      </c>
      <c r="F41" s="19" t="n">
        <v>4</v>
      </c>
      <c r="G41" s="19" t="s">
        <v>164</v>
      </c>
      <c r="H41" s="19" t="s">
        <v>99</v>
      </c>
      <c r="I41" s="24" t="s">
        <v>25</v>
      </c>
      <c r="J41" s="24"/>
      <c r="K41" s="25" t="n">
        <f aca="false">IFERROR(INDEX(Team!$E$15:$E$21,MATCH(E41,Team!$A$15:$A$21,0)),"")</f>
        <v>46353</v>
      </c>
      <c r="L41" s="24"/>
      <c r="M41" s="24"/>
      <c r="N41" s="23" t="str">
        <f aca="true">IF(AND(I41&lt;&gt;"Done",K41&lt;&gt;"",K41&lt;TODAY()),"OVERDUE","")</f>
        <v/>
      </c>
      <c r="O41" s="24" t="s">
        <v>102</v>
      </c>
    </row>
    <row r="42" customFormat="false" ht="15" hidden="false" customHeight="false" outlineLevel="0" collapsed="false">
      <c r="A42" s="19" t="s">
        <v>182</v>
      </c>
      <c r="B42" s="19" t="s">
        <v>183</v>
      </c>
      <c r="C42" s="19" t="s">
        <v>56</v>
      </c>
      <c r="D42" s="23" t="str">
        <f aca="false">IFERROR(INDEX(Team!$B$5:$B$10,MATCH(C42,Team!$A$5:$A$10,0)),"")</f>
        <v>Name 2</v>
      </c>
      <c r="E42" s="19" t="s">
        <v>81</v>
      </c>
      <c r="F42" s="19" t="n">
        <v>6</v>
      </c>
      <c r="G42" s="19" t="s">
        <v>180</v>
      </c>
      <c r="H42" s="19" t="s">
        <v>99</v>
      </c>
      <c r="I42" s="24" t="s">
        <v>28</v>
      </c>
      <c r="J42" s="24"/>
      <c r="K42" s="25" t="n">
        <f aca="false">IFERROR(INDEX(Team!$E$15:$E$21,MATCH(E42,Team!$A$15:$A$21,0)),"")</f>
        <v>46353</v>
      </c>
      <c r="L42" s="24"/>
      <c r="M42" s="24"/>
      <c r="N42" s="23" t="str">
        <f aca="true">IF(AND(I42&lt;&gt;"Done",K42&lt;&gt;"",K42&lt;TODAY()),"OVERDUE","")</f>
        <v/>
      </c>
      <c r="O42" s="24"/>
    </row>
    <row r="43" customFormat="false" ht="15" hidden="false" customHeight="false" outlineLevel="0" collapsed="false">
      <c r="A43" s="19" t="s">
        <v>184</v>
      </c>
      <c r="B43" s="19" t="s">
        <v>185</v>
      </c>
      <c r="C43" s="19" t="s">
        <v>60</v>
      </c>
      <c r="D43" s="23" t="str">
        <f aca="false">IFERROR(INDEX(Team!$B$5:$B$10,MATCH(C43,Team!$A$5:$A$10,0)),"")</f>
        <v>Name 3</v>
      </c>
      <c r="E43" s="19" t="s">
        <v>81</v>
      </c>
      <c r="F43" s="19" t="n">
        <v>8</v>
      </c>
      <c r="G43" s="19" t="s">
        <v>182</v>
      </c>
      <c r="H43" s="19" t="s">
        <v>99</v>
      </c>
      <c r="I43" s="24" t="s">
        <v>28</v>
      </c>
      <c r="J43" s="24"/>
      <c r="K43" s="25" t="n">
        <f aca="false">IFERROR(INDEX(Team!$E$15:$E$21,MATCH(E43,Team!$A$15:$A$21,0)),"")</f>
        <v>46353</v>
      </c>
      <c r="L43" s="24"/>
      <c r="M43" s="24"/>
      <c r="N43" s="23" t="str">
        <f aca="true">IF(AND(I43&lt;&gt;"Done",K43&lt;&gt;"",K43&lt;TODAY()),"OVERDUE","")</f>
        <v/>
      </c>
      <c r="O43" s="24"/>
    </row>
    <row r="44" customFormat="false" ht="15" hidden="false" customHeight="false" outlineLevel="0" collapsed="false">
      <c r="A44" s="19" t="s">
        <v>186</v>
      </c>
      <c r="B44" s="19" t="s">
        <v>187</v>
      </c>
      <c r="C44" s="19" t="s">
        <v>52</v>
      </c>
      <c r="D44" s="23" t="str">
        <f aca="false">IFERROR(INDEX(Team!$B$5:$B$10,MATCH(C44,Team!$A$5:$A$10,0)),"")</f>
        <v>Name 1</v>
      </c>
      <c r="E44" s="19" t="s">
        <v>81</v>
      </c>
      <c r="F44" s="19" t="n">
        <v>5</v>
      </c>
      <c r="G44" s="19" t="s">
        <v>184</v>
      </c>
      <c r="H44" s="19" t="s">
        <v>99</v>
      </c>
      <c r="I44" s="24" t="s">
        <v>28</v>
      </c>
      <c r="J44" s="24"/>
      <c r="K44" s="25" t="n">
        <f aca="false">IFERROR(INDEX(Team!$E$15:$E$21,MATCH(E44,Team!$A$15:$A$21,0)),"")</f>
        <v>46353</v>
      </c>
      <c r="L44" s="24"/>
      <c r="M44" s="24"/>
      <c r="N44" s="23" t="str">
        <f aca="true">IF(AND(I44&lt;&gt;"Done",K44&lt;&gt;"",K44&lt;TODAY()),"OVERDUE","")</f>
        <v/>
      </c>
      <c r="O44" s="24"/>
    </row>
    <row r="45" customFormat="false" ht="15" hidden="false" customHeight="false" outlineLevel="0" collapsed="false">
      <c r="A45" s="19" t="s">
        <v>188</v>
      </c>
      <c r="B45" s="19" t="s">
        <v>189</v>
      </c>
      <c r="C45" s="19" t="s">
        <v>64</v>
      </c>
      <c r="D45" s="23" t="str">
        <f aca="false">IFERROR(INDEX(Team!$B$5:$B$10,MATCH(C45,Team!$A$5:$A$10,0)),"")</f>
        <v>Name 4</v>
      </c>
      <c r="E45" s="19" t="s">
        <v>81</v>
      </c>
      <c r="F45" s="19" t="n">
        <v>6</v>
      </c>
      <c r="G45" s="19" t="s">
        <v>186</v>
      </c>
      <c r="H45" s="19" t="s">
        <v>99</v>
      </c>
      <c r="I45" s="24" t="s">
        <v>28</v>
      </c>
      <c r="J45" s="24"/>
      <c r="K45" s="25" t="n">
        <f aca="false">IFERROR(INDEX(Team!$E$15:$E$21,MATCH(E45,Team!$A$15:$A$21,0)),"")</f>
        <v>46353</v>
      </c>
      <c r="L45" s="24"/>
      <c r="M45" s="24"/>
      <c r="N45" s="23" t="str">
        <f aca="true">IF(AND(I45&lt;&gt;"Done",K45&lt;&gt;"",K45&lt;TODAY()),"OVERDUE","")</f>
        <v/>
      </c>
      <c r="O45" s="24"/>
    </row>
    <row r="46" customFormat="false" ht="15" hidden="false" customHeight="false" outlineLevel="0" collapsed="false">
      <c r="A46" s="19" t="s">
        <v>190</v>
      </c>
      <c r="B46" s="19" t="s">
        <v>191</v>
      </c>
      <c r="C46" s="19" t="s">
        <v>56</v>
      </c>
      <c r="D46" s="23" t="str">
        <f aca="false">IFERROR(INDEX(Team!$B$5:$B$10,MATCH(C46,Team!$A$5:$A$10,0)),"")</f>
        <v>Name 2</v>
      </c>
      <c r="E46" s="19" t="s">
        <v>81</v>
      </c>
      <c r="F46" s="19" t="n">
        <v>3</v>
      </c>
      <c r="G46" s="19" t="s">
        <v>186</v>
      </c>
      <c r="H46" s="19" t="s">
        <v>112</v>
      </c>
      <c r="I46" s="24" t="s">
        <v>28</v>
      </c>
      <c r="J46" s="24"/>
      <c r="K46" s="25" t="n">
        <f aca="false">IFERROR(INDEX(Team!$E$15:$E$21,MATCH(E46,Team!$A$15:$A$21,0)),"")</f>
        <v>46353</v>
      </c>
      <c r="L46" s="24"/>
      <c r="M46" s="24"/>
      <c r="N46" s="23" t="str">
        <f aca="true">IF(AND(I46&lt;&gt;"Done",K46&lt;&gt;"",K46&lt;TODAY()),"OVERDUE","")</f>
        <v/>
      </c>
      <c r="O46" s="24"/>
    </row>
    <row r="47" customFormat="false" ht="15" hidden="false" customHeight="false" outlineLevel="0" collapsed="false">
      <c r="A47" s="19" t="s">
        <v>192</v>
      </c>
      <c r="B47" s="19" t="s">
        <v>193</v>
      </c>
      <c r="C47" s="19" t="s">
        <v>52</v>
      </c>
      <c r="D47" s="23" t="str">
        <f aca="false">IFERROR(INDEX(Team!$B$5:$B$10,MATCH(C47,Team!$A$5:$A$10,0)),"")</f>
        <v>Name 1</v>
      </c>
      <c r="E47" s="19" t="s">
        <v>81</v>
      </c>
      <c r="F47" s="19" t="n">
        <v>4</v>
      </c>
      <c r="G47" s="19" t="s">
        <v>186</v>
      </c>
      <c r="H47" s="19" t="s">
        <v>137</v>
      </c>
      <c r="I47" s="24" t="s">
        <v>28</v>
      </c>
      <c r="J47" s="24"/>
      <c r="K47" s="25" t="n">
        <f aca="false">IFERROR(INDEX(Team!$E$15:$E$21,MATCH(E47,Team!$A$15:$A$21,0)),"")</f>
        <v>46353</v>
      </c>
      <c r="L47" s="24"/>
      <c r="M47" s="24"/>
      <c r="N47" s="23" t="str">
        <f aca="true">IF(AND(I47&lt;&gt;"Done",K47&lt;&gt;"",K47&lt;TODAY()),"OVERDUE","")</f>
        <v/>
      </c>
      <c r="O47" s="24"/>
    </row>
    <row r="48" customFormat="false" ht="15" hidden="false" customHeight="false" outlineLevel="0" collapsed="false">
      <c r="A48" s="19" t="s">
        <v>194</v>
      </c>
      <c r="B48" s="19" t="s">
        <v>195</v>
      </c>
      <c r="C48" s="19" t="s">
        <v>68</v>
      </c>
      <c r="D48" s="23" t="str">
        <f aca="false">IFERROR(INDEX(Team!$B$5:$B$10,MATCH(C48,Team!$A$5:$A$10,0)),"")</f>
        <v>Name 5</v>
      </c>
      <c r="E48" s="19" t="s">
        <v>81</v>
      </c>
      <c r="F48" s="19" t="n">
        <v>6</v>
      </c>
      <c r="G48" s="19" t="s">
        <v>188</v>
      </c>
      <c r="H48" s="19" t="s">
        <v>99</v>
      </c>
      <c r="I48" s="24" t="s">
        <v>28</v>
      </c>
      <c r="J48" s="24"/>
      <c r="K48" s="25" t="n">
        <f aca="false">IFERROR(INDEX(Team!$E$15:$E$21,MATCH(E48,Team!$A$15:$A$21,0)),"")</f>
        <v>46353</v>
      </c>
      <c r="L48" s="24"/>
      <c r="M48" s="24"/>
      <c r="N48" s="23" t="str">
        <f aca="true">IF(AND(I48&lt;&gt;"Done",K48&lt;&gt;"",K48&lt;TODAY()),"OVERDUE","")</f>
        <v/>
      </c>
      <c r="O48" s="24"/>
    </row>
    <row r="49" customFormat="false" ht="23.85" hidden="false" customHeight="false" outlineLevel="0" collapsed="false">
      <c r="A49" s="19" t="s">
        <v>196</v>
      </c>
      <c r="B49" s="19" t="s">
        <v>197</v>
      </c>
      <c r="C49" s="19" t="s">
        <v>52</v>
      </c>
      <c r="D49" s="23" t="str">
        <f aca="false">IFERROR(INDEX(Team!$B$5:$B$10,MATCH(C49,Team!$A$5:$A$10,0)),"")</f>
        <v>Name 1</v>
      </c>
      <c r="E49" s="19" t="s">
        <v>82</v>
      </c>
      <c r="F49" s="19" t="n">
        <v>3</v>
      </c>
      <c r="G49" s="19" t="s">
        <v>164</v>
      </c>
      <c r="H49" s="19" t="s">
        <v>99</v>
      </c>
      <c r="I49" s="24" t="s">
        <v>25</v>
      </c>
      <c r="J49" s="24"/>
      <c r="K49" s="25" t="n">
        <f aca="false">IFERROR(INDEX(Team!$E$15:$E$21,MATCH(E49,Team!$A$15:$A$21,0)),"")</f>
        <v>46360</v>
      </c>
      <c r="L49" s="24"/>
      <c r="M49" s="24"/>
      <c r="N49" s="23" t="str">
        <f aca="true">IF(AND(I49&lt;&gt;"Done",K49&lt;&gt;"",K49&lt;TODAY()),"OVERDUE","")</f>
        <v/>
      </c>
      <c r="O49" s="24" t="s">
        <v>102</v>
      </c>
    </row>
    <row r="50" customFormat="false" ht="15" hidden="false" customHeight="false" outlineLevel="0" collapsed="false">
      <c r="A50" s="19" t="s">
        <v>198</v>
      </c>
      <c r="B50" s="19" t="s">
        <v>199</v>
      </c>
      <c r="C50" s="19" t="s">
        <v>52</v>
      </c>
      <c r="D50" s="23" t="str">
        <f aca="false">IFERROR(INDEX(Team!$B$5:$B$10,MATCH(C50,Team!$A$5:$A$10,0)),"")</f>
        <v>Name 1</v>
      </c>
      <c r="E50" s="19" t="s">
        <v>82</v>
      </c>
      <c r="F50" s="19" t="n">
        <v>5</v>
      </c>
      <c r="G50" s="19" t="s">
        <v>196</v>
      </c>
      <c r="H50" s="19" t="s">
        <v>99</v>
      </c>
      <c r="I50" s="24" t="s">
        <v>28</v>
      </c>
      <c r="J50" s="24"/>
      <c r="K50" s="25" t="n">
        <f aca="false">IFERROR(INDEX(Team!$E$15:$E$21,MATCH(E50,Team!$A$15:$A$21,0)),"")</f>
        <v>46360</v>
      </c>
      <c r="L50" s="24"/>
      <c r="M50" s="24"/>
      <c r="N50" s="23" t="str">
        <f aca="true">IF(AND(I50&lt;&gt;"Done",K50&lt;&gt;"",K50&lt;TODAY()),"OVERDUE","")</f>
        <v/>
      </c>
      <c r="O50" s="24"/>
    </row>
    <row r="51" customFormat="false" ht="15" hidden="false" customHeight="false" outlineLevel="0" collapsed="false">
      <c r="A51" s="19" t="s">
        <v>200</v>
      </c>
      <c r="B51" s="19" t="s">
        <v>201</v>
      </c>
      <c r="C51" s="19" t="s">
        <v>52</v>
      </c>
      <c r="D51" s="23" t="str">
        <f aca="false">IFERROR(INDEX(Team!$B$5:$B$10,MATCH(C51,Team!$A$5:$A$10,0)),"")</f>
        <v>Name 1</v>
      </c>
      <c r="E51" s="19" t="s">
        <v>82</v>
      </c>
      <c r="F51" s="19" t="n">
        <v>8</v>
      </c>
      <c r="G51" s="19" t="s">
        <v>198</v>
      </c>
      <c r="H51" s="19" t="s">
        <v>99</v>
      </c>
      <c r="I51" s="24" t="s">
        <v>28</v>
      </c>
      <c r="J51" s="24"/>
      <c r="K51" s="25" t="n">
        <f aca="false">IFERROR(INDEX(Team!$E$15:$E$21,MATCH(E51,Team!$A$15:$A$21,0)),"")</f>
        <v>46360</v>
      </c>
      <c r="L51" s="24"/>
      <c r="M51" s="24"/>
      <c r="N51" s="23" t="str">
        <f aca="true">IF(AND(I51&lt;&gt;"Done",K51&lt;&gt;"",K51&lt;TODAY()),"OVERDUE","")</f>
        <v/>
      </c>
      <c r="O51" s="24"/>
    </row>
    <row r="52" customFormat="false" ht="15" hidden="false" customHeight="false" outlineLevel="0" collapsed="false">
      <c r="A52" s="19" t="s">
        <v>202</v>
      </c>
      <c r="B52" s="19" t="s">
        <v>203</v>
      </c>
      <c r="C52" s="19" t="s">
        <v>60</v>
      </c>
      <c r="D52" s="23" t="str">
        <f aca="false">IFERROR(INDEX(Team!$B$5:$B$10,MATCH(C52,Team!$A$5:$A$10,0)),"")</f>
        <v>Name 3</v>
      </c>
      <c r="E52" s="19" t="s">
        <v>82</v>
      </c>
      <c r="F52" s="19" t="n">
        <v>6</v>
      </c>
      <c r="G52" s="19" t="s">
        <v>200</v>
      </c>
      <c r="H52" s="19" t="s">
        <v>99</v>
      </c>
      <c r="I52" s="24" t="s">
        <v>28</v>
      </c>
      <c r="J52" s="24"/>
      <c r="K52" s="25" t="n">
        <f aca="false">IFERROR(INDEX(Team!$E$15:$E$21,MATCH(E52,Team!$A$15:$A$21,0)),"")</f>
        <v>46360</v>
      </c>
      <c r="L52" s="24"/>
      <c r="M52" s="24"/>
      <c r="N52" s="23" t="str">
        <f aca="true">IF(AND(I52&lt;&gt;"Done",K52&lt;&gt;"",K52&lt;TODAY()),"OVERDUE","")</f>
        <v/>
      </c>
      <c r="O52" s="24"/>
    </row>
    <row r="53" customFormat="false" ht="15" hidden="false" customHeight="false" outlineLevel="0" collapsed="false">
      <c r="A53" s="19" t="s">
        <v>204</v>
      </c>
      <c r="B53" s="19" t="s">
        <v>205</v>
      </c>
      <c r="C53" s="19" t="s">
        <v>60</v>
      </c>
      <c r="D53" s="23" t="str">
        <f aca="false">IFERROR(INDEX(Team!$B$5:$B$10,MATCH(C53,Team!$A$5:$A$10,0)),"")</f>
        <v>Name 3</v>
      </c>
      <c r="E53" s="19" t="s">
        <v>82</v>
      </c>
      <c r="F53" s="19" t="n">
        <v>4</v>
      </c>
      <c r="G53" s="19" t="s">
        <v>202</v>
      </c>
      <c r="H53" s="19" t="s">
        <v>112</v>
      </c>
      <c r="I53" s="24" t="s">
        <v>28</v>
      </c>
      <c r="J53" s="24"/>
      <c r="K53" s="25" t="n">
        <f aca="false">IFERROR(INDEX(Team!$E$15:$E$21,MATCH(E53,Team!$A$15:$A$21,0)),"")</f>
        <v>46360</v>
      </c>
      <c r="L53" s="24"/>
      <c r="M53" s="24"/>
      <c r="N53" s="23" t="str">
        <f aca="true">IF(AND(I53&lt;&gt;"Done",K53&lt;&gt;"",K53&lt;TODAY()),"OVERDUE","")</f>
        <v/>
      </c>
      <c r="O53" s="24"/>
    </row>
    <row r="54" customFormat="false" ht="15" hidden="false" customHeight="false" outlineLevel="0" collapsed="false">
      <c r="A54" s="19" t="s">
        <v>206</v>
      </c>
      <c r="B54" s="19" t="s">
        <v>207</v>
      </c>
      <c r="C54" s="19" t="s">
        <v>64</v>
      </c>
      <c r="D54" s="23" t="str">
        <f aca="false">IFERROR(INDEX(Team!$B$5:$B$10,MATCH(C54,Team!$A$5:$A$10,0)),"")</f>
        <v>Name 4</v>
      </c>
      <c r="E54" s="19" t="s">
        <v>82</v>
      </c>
      <c r="F54" s="19" t="n">
        <v>4</v>
      </c>
      <c r="G54" s="19" t="s">
        <v>200</v>
      </c>
      <c r="H54" s="19" t="s">
        <v>112</v>
      </c>
      <c r="I54" s="24" t="s">
        <v>28</v>
      </c>
      <c r="J54" s="24"/>
      <c r="K54" s="25" t="n">
        <f aca="false">IFERROR(INDEX(Team!$E$15:$E$21,MATCH(E54,Team!$A$15:$A$21,0)),"")</f>
        <v>46360</v>
      </c>
      <c r="L54" s="24"/>
      <c r="M54" s="24"/>
      <c r="N54" s="23" t="str">
        <f aca="true">IF(AND(I54&lt;&gt;"Done",K54&lt;&gt;"",K54&lt;TODAY()),"OVERDUE","")</f>
        <v/>
      </c>
      <c r="O54" s="24"/>
    </row>
    <row r="55" customFormat="false" ht="15" hidden="false" customHeight="false" outlineLevel="0" collapsed="false">
      <c r="A55" s="19" t="s">
        <v>208</v>
      </c>
      <c r="B55" s="19" t="s">
        <v>209</v>
      </c>
      <c r="C55" s="19" t="s">
        <v>56</v>
      </c>
      <c r="D55" s="23" t="str">
        <f aca="false">IFERROR(INDEX(Team!$B$5:$B$10,MATCH(C55,Team!$A$5:$A$10,0)),"")</f>
        <v>Name 2</v>
      </c>
      <c r="E55" s="19" t="s">
        <v>82</v>
      </c>
      <c r="F55" s="19" t="n">
        <v>4</v>
      </c>
      <c r="G55" s="19" t="s">
        <v>202</v>
      </c>
      <c r="H55" s="19" t="s">
        <v>137</v>
      </c>
      <c r="I55" s="24" t="s">
        <v>28</v>
      </c>
      <c r="J55" s="24"/>
      <c r="K55" s="25" t="n">
        <f aca="false">IFERROR(INDEX(Team!$E$15:$E$21,MATCH(E55,Team!$A$15:$A$21,0)),"")</f>
        <v>46360</v>
      </c>
      <c r="L55" s="24"/>
      <c r="M55" s="24"/>
      <c r="N55" s="23" t="str">
        <f aca="true">IF(AND(I55&lt;&gt;"Done",K55&lt;&gt;"",K55&lt;TODAY()),"OVERDUE","")</f>
        <v/>
      </c>
      <c r="O55" s="24"/>
    </row>
    <row r="56" customFormat="false" ht="15" hidden="false" customHeight="false" outlineLevel="0" collapsed="false">
      <c r="A56" s="19" t="s">
        <v>210</v>
      </c>
      <c r="B56" s="19" t="s">
        <v>211</v>
      </c>
      <c r="C56" s="19" t="s">
        <v>68</v>
      </c>
      <c r="D56" s="23" t="str">
        <f aca="false">IFERROR(INDEX(Team!$B$5:$B$10,MATCH(C56,Team!$A$5:$A$10,0)),"")</f>
        <v>Name 5</v>
      </c>
      <c r="E56" s="19" t="s">
        <v>82</v>
      </c>
      <c r="F56" s="19" t="n">
        <v>5</v>
      </c>
      <c r="G56" s="19" t="s">
        <v>200</v>
      </c>
      <c r="H56" s="19" t="s">
        <v>99</v>
      </c>
      <c r="I56" s="24" t="s">
        <v>28</v>
      </c>
      <c r="J56" s="24"/>
      <c r="K56" s="25" t="n">
        <f aca="false">IFERROR(INDEX(Team!$E$15:$E$21,MATCH(E56,Team!$A$15:$A$21,0)),"")</f>
        <v>46360</v>
      </c>
      <c r="L56" s="24"/>
      <c r="M56" s="24"/>
      <c r="N56" s="23" t="str">
        <f aca="true">IF(AND(I56&lt;&gt;"Done",K56&lt;&gt;"",K56&lt;TODAY()),"OVERDUE","")</f>
        <v/>
      </c>
      <c r="O56" s="24"/>
    </row>
    <row r="57" customFormat="false" ht="23.85" hidden="false" customHeight="false" outlineLevel="0" collapsed="false">
      <c r="A57" s="19" t="s">
        <v>212</v>
      </c>
      <c r="B57" s="19" t="s">
        <v>213</v>
      </c>
      <c r="C57" s="19" t="s">
        <v>56</v>
      </c>
      <c r="D57" s="23" t="str">
        <f aca="false">IFERROR(INDEX(Team!$B$5:$B$10,MATCH(C57,Team!$A$5:$A$10,0)),"")</f>
        <v>Name 2</v>
      </c>
      <c r="E57" s="19" t="s">
        <v>83</v>
      </c>
      <c r="F57" s="19" t="n">
        <v>6</v>
      </c>
      <c r="G57" s="19" t="s">
        <v>208</v>
      </c>
      <c r="H57" s="19" t="s">
        <v>99</v>
      </c>
      <c r="I57" s="24" t="s">
        <v>28</v>
      </c>
      <c r="J57" s="24"/>
      <c r="K57" s="25" t="n">
        <f aca="false">IFERROR(INDEX(Team!$E$15:$E$21,MATCH(E57,Team!$A$15:$A$21,0)),"")</f>
        <v>46374</v>
      </c>
      <c r="L57" s="24"/>
      <c r="M57" s="24"/>
      <c r="N57" s="23" t="str">
        <f aca="true">IF(AND(I57&lt;&gt;"Done",K57&lt;&gt;"",K57&lt;TODAY()),"OVERDUE","")</f>
        <v/>
      </c>
      <c r="O57" s="24"/>
    </row>
    <row r="58" customFormat="false" ht="23.85" hidden="false" customHeight="false" outlineLevel="0" collapsed="false">
      <c r="A58" s="19" t="s">
        <v>214</v>
      </c>
      <c r="B58" s="19" t="s">
        <v>215</v>
      </c>
      <c r="C58" s="19" t="s">
        <v>52</v>
      </c>
      <c r="D58" s="23" t="str">
        <f aca="false">IFERROR(INDEX(Team!$B$5:$B$10,MATCH(C58,Team!$A$5:$A$10,0)),"")</f>
        <v>Name 1</v>
      </c>
      <c r="E58" s="19" t="s">
        <v>83</v>
      </c>
      <c r="F58" s="19" t="n">
        <v>5</v>
      </c>
      <c r="G58" s="19" t="s">
        <v>190</v>
      </c>
      <c r="H58" s="19" t="s">
        <v>99</v>
      </c>
      <c r="I58" s="24" t="s">
        <v>28</v>
      </c>
      <c r="J58" s="24"/>
      <c r="K58" s="25" t="n">
        <f aca="false">IFERROR(INDEX(Team!$E$15:$E$21,MATCH(E58,Team!$A$15:$A$21,0)),"")</f>
        <v>46374</v>
      </c>
      <c r="L58" s="24"/>
      <c r="M58" s="24"/>
      <c r="N58" s="23" t="str">
        <f aca="true">IF(AND(I58&lt;&gt;"Done",K58&lt;&gt;"",K58&lt;TODAY()),"OVERDUE","")</f>
        <v/>
      </c>
      <c r="O58" s="24"/>
    </row>
    <row r="59" customFormat="false" ht="23.85" hidden="false" customHeight="false" outlineLevel="0" collapsed="false">
      <c r="A59" s="19" t="s">
        <v>216</v>
      </c>
      <c r="B59" s="19" t="s">
        <v>217</v>
      </c>
      <c r="C59" s="19" t="s">
        <v>60</v>
      </c>
      <c r="D59" s="23" t="str">
        <f aca="false">IFERROR(INDEX(Team!$B$5:$B$10,MATCH(C59,Team!$A$5:$A$10,0)),"")</f>
        <v>Name 3</v>
      </c>
      <c r="E59" s="19" t="s">
        <v>83</v>
      </c>
      <c r="F59" s="19" t="n">
        <v>5</v>
      </c>
      <c r="G59" s="19" t="s">
        <v>206</v>
      </c>
      <c r="H59" s="19" t="s">
        <v>99</v>
      </c>
      <c r="I59" s="24" t="s">
        <v>28</v>
      </c>
      <c r="J59" s="24"/>
      <c r="K59" s="25" t="n">
        <f aca="false">IFERROR(INDEX(Team!$E$15:$E$21,MATCH(E59,Team!$A$15:$A$21,0)),"")</f>
        <v>46374</v>
      </c>
      <c r="L59" s="24"/>
      <c r="M59" s="24"/>
      <c r="N59" s="23" t="str">
        <f aca="true">IF(AND(I59&lt;&gt;"Done",K59&lt;&gt;"",K59&lt;TODAY()),"OVERDUE","")</f>
        <v/>
      </c>
      <c r="O59" s="24"/>
    </row>
    <row r="60" customFormat="false" ht="23.85" hidden="false" customHeight="false" outlineLevel="0" collapsed="false">
      <c r="A60" s="19" t="s">
        <v>218</v>
      </c>
      <c r="B60" s="19" t="s">
        <v>219</v>
      </c>
      <c r="C60" s="19" t="s">
        <v>64</v>
      </c>
      <c r="D60" s="23" t="str">
        <f aca="false">IFERROR(INDEX(Team!$B$5:$B$10,MATCH(C60,Team!$A$5:$A$10,0)),"")</f>
        <v>Name 4</v>
      </c>
      <c r="E60" s="19" t="s">
        <v>83</v>
      </c>
      <c r="F60" s="19" t="n">
        <v>8</v>
      </c>
      <c r="G60" s="19" t="s">
        <v>212</v>
      </c>
      <c r="H60" s="19" t="s">
        <v>112</v>
      </c>
      <c r="I60" s="24" t="s">
        <v>28</v>
      </c>
      <c r="J60" s="24"/>
      <c r="K60" s="25" t="n">
        <f aca="false">IFERROR(INDEX(Team!$E$15:$E$21,MATCH(E60,Team!$A$15:$A$21,0)),"")</f>
        <v>46374</v>
      </c>
      <c r="L60" s="24"/>
      <c r="M60" s="24"/>
      <c r="N60" s="23" t="str">
        <f aca="true">IF(AND(I60&lt;&gt;"Done",K60&lt;&gt;"",K60&lt;TODAY()),"OVERDUE","")</f>
        <v/>
      </c>
      <c r="O60" s="24"/>
    </row>
    <row r="61" customFormat="false" ht="23.85" hidden="false" customHeight="false" outlineLevel="0" collapsed="false">
      <c r="A61" s="19" t="s">
        <v>220</v>
      </c>
      <c r="B61" s="19" t="s">
        <v>221</v>
      </c>
      <c r="C61" s="19" t="s">
        <v>56</v>
      </c>
      <c r="D61" s="23" t="str">
        <f aca="false">IFERROR(INDEX(Team!$B$5:$B$10,MATCH(C61,Team!$A$5:$A$10,0)),"")</f>
        <v>Name 2</v>
      </c>
      <c r="E61" s="19" t="s">
        <v>83</v>
      </c>
      <c r="F61" s="19" t="n">
        <v>4</v>
      </c>
      <c r="G61" s="19" t="s">
        <v>212</v>
      </c>
      <c r="H61" s="19" t="s">
        <v>112</v>
      </c>
      <c r="I61" s="24" t="s">
        <v>28</v>
      </c>
      <c r="J61" s="24"/>
      <c r="K61" s="25" t="n">
        <f aca="false">IFERROR(INDEX(Team!$E$15:$E$21,MATCH(E61,Team!$A$15:$A$21,0)),"")</f>
        <v>46374</v>
      </c>
      <c r="L61" s="24"/>
      <c r="M61" s="24"/>
      <c r="N61" s="23" t="str">
        <f aca="true">IF(AND(I61&lt;&gt;"Done",K61&lt;&gt;"",K61&lt;TODAY()),"OVERDUE","")</f>
        <v/>
      </c>
      <c r="O61" s="24"/>
    </row>
    <row r="62" customFormat="false" ht="23.85" hidden="false" customHeight="false" outlineLevel="0" collapsed="false">
      <c r="A62" s="19" t="s">
        <v>222</v>
      </c>
      <c r="B62" s="19" t="s">
        <v>223</v>
      </c>
      <c r="C62" s="19" t="s">
        <v>52</v>
      </c>
      <c r="D62" s="23" t="str">
        <f aca="false">IFERROR(INDEX(Team!$B$5:$B$10,MATCH(C62,Team!$A$5:$A$10,0)),"")</f>
        <v>Name 1</v>
      </c>
      <c r="E62" s="19" t="s">
        <v>83</v>
      </c>
      <c r="F62" s="19" t="n">
        <v>4</v>
      </c>
      <c r="G62" s="19" t="s">
        <v>212</v>
      </c>
      <c r="H62" s="19" t="s">
        <v>99</v>
      </c>
      <c r="I62" s="24" t="s">
        <v>28</v>
      </c>
      <c r="J62" s="24"/>
      <c r="K62" s="25" t="n">
        <f aca="false">IFERROR(INDEX(Team!$E$15:$E$21,MATCH(E62,Team!$A$15:$A$21,0)),"")</f>
        <v>46374</v>
      </c>
      <c r="L62" s="24"/>
      <c r="M62" s="24"/>
      <c r="N62" s="23" t="str">
        <f aca="true">IF(AND(I62&lt;&gt;"Done",K62&lt;&gt;"",K62&lt;TODAY()),"OVERDUE","")</f>
        <v/>
      </c>
      <c r="O62" s="24"/>
    </row>
    <row r="63" customFormat="false" ht="23.85" hidden="false" customHeight="false" outlineLevel="0" collapsed="false">
      <c r="A63" s="19" t="s">
        <v>224</v>
      </c>
      <c r="B63" s="19" t="s">
        <v>225</v>
      </c>
      <c r="C63" s="19" t="s">
        <v>68</v>
      </c>
      <c r="D63" s="23" t="str">
        <f aca="false">IFERROR(INDEX(Team!$B$5:$B$10,MATCH(C63,Team!$A$5:$A$10,0)),"")</f>
        <v>Name 5</v>
      </c>
      <c r="E63" s="19" t="s">
        <v>83</v>
      </c>
      <c r="F63" s="19" t="n">
        <v>12</v>
      </c>
      <c r="G63" s="19" t="s">
        <v>218</v>
      </c>
      <c r="H63" s="19" t="s">
        <v>99</v>
      </c>
      <c r="I63" s="24" t="s">
        <v>28</v>
      </c>
      <c r="J63" s="24"/>
      <c r="K63" s="25" t="n">
        <f aca="false">IFERROR(INDEX(Team!$E$15:$E$21,MATCH(E63,Team!$A$15:$A$21,0)),"")</f>
        <v>46374</v>
      </c>
      <c r="L63" s="24"/>
      <c r="M63" s="24"/>
      <c r="N63" s="23" t="str">
        <f aca="true">IF(AND(I63&lt;&gt;"Done",K63&lt;&gt;"",K63&lt;TODAY()),"OVERDUE","")</f>
        <v/>
      </c>
      <c r="O63" s="24"/>
    </row>
    <row r="64" customFormat="false" ht="23.85" hidden="false" customHeight="false" outlineLevel="0" collapsed="false">
      <c r="A64" s="19" t="s">
        <v>226</v>
      </c>
      <c r="B64" s="19" t="s">
        <v>227</v>
      </c>
      <c r="C64" s="19" t="s">
        <v>56</v>
      </c>
      <c r="D64" s="23" t="str">
        <f aca="false">IFERROR(INDEX(Team!$B$5:$B$10,MATCH(C64,Team!$A$5:$A$10,0)),"")</f>
        <v>Name 2</v>
      </c>
      <c r="E64" s="19" t="s">
        <v>83</v>
      </c>
      <c r="F64" s="19" t="n">
        <v>8</v>
      </c>
      <c r="G64" s="19" t="s">
        <v>222</v>
      </c>
      <c r="H64" s="19" t="s">
        <v>99</v>
      </c>
      <c r="I64" s="24" t="s">
        <v>28</v>
      </c>
      <c r="J64" s="24"/>
      <c r="K64" s="25" t="n">
        <f aca="false">IFERROR(INDEX(Team!$E$15:$E$21,MATCH(E64,Team!$A$15:$A$21,0)),"")</f>
        <v>46374</v>
      </c>
      <c r="L64" s="24"/>
      <c r="M64" s="24"/>
      <c r="N64" s="23" t="str">
        <f aca="true">IF(AND(I64&lt;&gt;"Done",K64&lt;&gt;"",K64&lt;TODAY()),"OVERDUE","")</f>
        <v/>
      </c>
      <c r="O64" s="24"/>
    </row>
    <row r="65" customFormat="false" ht="23.85" hidden="false" customHeight="false" outlineLevel="0" collapsed="false">
      <c r="A65" s="19" t="s">
        <v>228</v>
      </c>
      <c r="B65" s="19" t="s">
        <v>229</v>
      </c>
      <c r="C65" s="19" t="s">
        <v>48</v>
      </c>
      <c r="D65" s="23" t="str">
        <f aca="false">IFERROR(INDEX(Team!$B$5:$B$10,MATCH(C65,Team!$A$5:$A$10,0)),"")</f>
        <v>Lead (you)</v>
      </c>
      <c r="E65" s="19" t="s">
        <v>83</v>
      </c>
      <c r="F65" s="19" t="n">
        <v>6</v>
      </c>
      <c r="G65" s="19" t="s">
        <v>226</v>
      </c>
      <c r="H65" s="19" t="s">
        <v>99</v>
      </c>
      <c r="I65" s="24" t="s">
        <v>28</v>
      </c>
      <c r="J65" s="24"/>
      <c r="K65" s="25" t="n">
        <f aca="false">IFERROR(INDEX(Team!$E$15:$E$21,MATCH(E65,Team!$A$15:$A$21,0)),"")</f>
        <v>46374</v>
      </c>
      <c r="L65" s="24"/>
      <c r="M65" s="24"/>
      <c r="N65" s="23" t="str">
        <f aca="true">IF(AND(I65&lt;&gt;"Done",K65&lt;&gt;"",K65&lt;TODAY()),"OVERDUE","")</f>
        <v/>
      </c>
      <c r="O65" s="24"/>
    </row>
  </sheetData>
  <autoFilter ref="A1:O65"/>
  <conditionalFormatting sqref="I2:I65">
    <cfRule type="cellIs" priority="2" operator="equal" aboveAverage="0" equalAverage="0" bottom="0" percent="0" rank="0" text="" dxfId="10">
      <formula>"Done"</formula>
    </cfRule>
    <cfRule type="cellIs" priority="3" operator="equal" aboveAverage="0" equalAverage="0" bottom="0" percent="0" rank="0" text="" dxfId="11">
      <formula>"In progress"</formula>
    </cfRule>
    <cfRule type="cellIs" priority="4" operator="equal" aboveAverage="0" equalAverage="0" bottom="0" percent="0" rank="0" text="" dxfId="12">
      <formula>"In review"</formula>
    </cfRule>
  </conditionalFormatting>
  <conditionalFormatting sqref="N2:N65">
    <cfRule type="cellIs" priority="5" operator="equal" aboveAverage="0" equalAverage="0" bottom="0" percent="0" rank="0" text="" dxfId="3">
      <formula>"OVERDUE"</formula>
    </cfRule>
  </conditionalFormatting>
  <conditionalFormatting sqref="J2:J65">
    <cfRule type="cellIs" priority="6" operator="equal" aboveAverage="0" equalAverage="0" bottom="0" percent="0" rank="0" text="" dxfId="3">
      <formula>"Yes"</formula>
    </cfRule>
  </conditionalFormatting>
  <dataValidations count="2">
    <dataValidation allowBlank="false" errorStyle="stop" operator="between" showDropDown="false" showErrorMessage="false" showInputMessage="false" sqref="I2:I65" type="list">
      <formula1>"Not started,In progress,In review,Testing,Done"</formula1>
      <formula2>0</formula2>
    </dataValidation>
    <dataValidation allowBlank="true" errorStyle="stop" operator="between" showDropDown="false" showErrorMessage="false" showInputMessage="false" sqref="J2:J65" type="list">
      <formula1>"Yes"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2026-09-30T04:10:53Z</dcterms:created>
  <dc:creator>openpyxl</dc:creator>
  <dc:description/>
  <dc:language>en-US</dc:language>
  <cp:lastModifiedBy/>
  <dcterms:modified xsi:type="dcterms:W3CDTF">2026-09-30T04:10:53Z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